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dc\FileShare\Public\Lista N°97\"/>
    </mc:Choice>
  </mc:AlternateContent>
  <bookViews>
    <workbookView xWindow="0" yWindow="0" windowWidth="19200" windowHeight="11595"/>
  </bookViews>
  <sheets>
    <sheet name="Precios" sheetId="1" r:id="rId1"/>
  </sheets>
  <definedNames>
    <definedName name="_xlnm.Print_Area" localSheetId="0">Precios!$B$5:$I$723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14" i="1" l="1"/>
  <c r="G609" i="1"/>
  <c r="H614" i="1"/>
  <c r="H609" i="1"/>
  <c r="I614" i="1"/>
  <c r="I609" i="1"/>
  <c r="G640" i="1" l="1"/>
  <c r="G550" i="1"/>
  <c r="G458" i="1"/>
  <c r="G366" i="1"/>
  <c r="G277" i="1"/>
  <c r="G187" i="1"/>
  <c r="G100" i="1"/>
  <c r="G12" i="1" l="1"/>
  <c r="I191" i="1" l="1"/>
  <c r="H191" i="1"/>
  <c r="G191" i="1"/>
  <c r="I116" i="1" l="1"/>
  <c r="H116" i="1"/>
  <c r="G116" i="1"/>
  <c r="I112" i="1"/>
  <c r="H112" i="1"/>
  <c r="G112" i="1"/>
  <c r="I108" i="1"/>
  <c r="H108" i="1"/>
  <c r="G108" i="1"/>
  <c r="I104" i="1"/>
  <c r="H104" i="1"/>
  <c r="G104" i="1"/>
  <c r="G120" i="1"/>
  <c r="H120" i="1"/>
  <c r="I120" i="1"/>
  <c r="I80" i="1"/>
  <c r="H80" i="1"/>
  <c r="G80" i="1"/>
  <c r="I74" i="1"/>
  <c r="H74" i="1"/>
  <c r="G74" i="1"/>
  <c r="I687" i="1" l="1"/>
  <c r="I682" i="1"/>
  <c r="I672" i="1"/>
  <c r="I662" i="1"/>
  <c r="I653" i="1"/>
  <c r="H687" i="1"/>
  <c r="H682" i="1"/>
  <c r="H672" i="1"/>
  <c r="H662" i="1"/>
  <c r="H653" i="1"/>
  <c r="H646" i="1"/>
  <c r="G687" i="1"/>
  <c r="G682" i="1"/>
  <c r="G672" i="1"/>
  <c r="G662" i="1"/>
  <c r="G653" i="1"/>
  <c r="I646" i="1"/>
  <c r="G646" i="1"/>
  <c r="G28" i="1"/>
  <c r="G591" i="1"/>
  <c r="H591" i="1"/>
  <c r="G174" i="1"/>
  <c r="H174" i="1"/>
  <c r="I591" i="1" l="1"/>
  <c r="I575" i="1"/>
  <c r="H575" i="1"/>
  <c r="G575" i="1"/>
  <c r="I568" i="1"/>
  <c r="H568" i="1"/>
  <c r="G568" i="1"/>
  <c r="I562" i="1"/>
  <c r="H562" i="1"/>
  <c r="G562" i="1"/>
  <c r="I556" i="1"/>
  <c r="H556" i="1"/>
  <c r="G556" i="1"/>
  <c r="I492" i="1"/>
  <c r="H492" i="1"/>
  <c r="G492" i="1"/>
  <c r="I525" i="1"/>
  <c r="H525" i="1"/>
  <c r="G525" i="1"/>
  <c r="I469" i="1"/>
  <c r="H469" i="1"/>
  <c r="G469" i="1"/>
  <c r="I462" i="1"/>
  <c r="H462" i="1"/>
  <c r="G462" i="1"/>
  <c r="I420" i="1"/>
  <c r="H420" i="1"/>
  <c r="G420" i="1"/>
  <c r="I409" i="1"/>
  <c r="H409" i="1"/>
  <c r="G409" i="1"/>
  <c r="I394" i="1"/>
  <c r="H394" i="1"/>
  <c r="G394" i="1"/>
  <c r="I390" i="1"/>
  <c r="H390" i="1"/>
  <c r="G390" i="1"/>
  <c r="I385" i="1"/>
  <c r="H385" i="1"/>
  <c r="G385" i="1"/>
  <c r="I372" i="1"/>
  <c r="H372" i="1"/>
  <c r="G372" i="1"/>
  <c r="I344" i="1"/>
  <c r="H344" i="1"/>
  <c r="G344" i="1"/>
  <c r="I337" i="1"/>
  <c r="H337" i="1"/>
  <c r="G337" i="1"/>
  <c r="I331" i="1"/>
  <c r="H331" i="1"/>
  <c r="G331" i="1"/>
  <c r="I327" i="1"/>
  <c r="H327" i="1"/>
  <c r="G327" i="1"/>
  <c r="I322" i="1"/>
  <c r="H322" i="1"/>
  <c r="G322" i="1"/>
  <c r="I317" i="1"/>
  <c r="H317" i="1"/>
  <c r="G317" i="1"/>
  <c r="I313" i="1"/>
  <c r="H313" i="1"/>
  <c r="G313" i="1"/>
  <c r="I305" i="1"/>
  <c r="H305" i="1"/>
  <c r="G305" i="1"/>
  <c r="I295" i="1"/>
  <c r="H295" i="1"/>
  <c r="G295" i="1"/>
  <c r="I480" i="1"/>
  <c r="H480" i="1"/>
  <c r="G480" i="1"/>
  <c r="I485" i="1"/>
  <c r="H485" i="1"/>
  <c r="G485" i="1"/>
  <c r="I281" i="1"/>
  <c r="H281" i="1"/>
  <c r="G281" i="1"/>
  <c r="I285" i="1"/>
  <c r="H285" i="1"/>
  <c r="G285" i="1"/>
  <c r="I247" i="1"/>
  <c r="H247" i="1"/>
  <c r="G247" i="1"/>
  <c r="I240" i="1"/>
  <c r="H240" i="1"/>
  <c r="G240" i="1"/>
  <c r="I236" i="1"/>
  <c r="H236" i="1"/>
  <c r="G236" i="1"/>
  <c r="I229" i="1"/>
  <c r="H229" i="1"/>
  <c r="G229" i="1"/>
  <c r="I218" i="1"/>
  <c r="H218" i="1"/>
  <c r="G218" i="1"/>
  <c r="I212" i="1"/>
  <c r="H212" i="1"/>
  <c r="G212" i="1"/>
  <c r="I197" i="1"/>
  <c r="H197" i="1"/>
  <c r="G197" i="1"/>
  <c r="I174" i="1"/>
  <c r="I170" i="1"/>
  <c r="H170" i="1"/>
  <c r="G170" i="1"/>
  <c r="I165" i="1"/>
  <c r="H165" i="1"/>
  <c r="G165" i="1"/>
  <c r="I157" i="1"/>
  <c r="H157" i="1"/>
  <c r="G157" i="1"/>
  <c r="I151" i="1"/>
  <c r="H151" i="1"/>
  <c r="G151" i="1"/>
  <c r="I145" i="1"/>
  <c r="H145" i="1"/>
  <c r="G145" i="1"/>
  <c r="I133" i="1"/>
  <c r="H133" i="1"/>
  <c r="G133" i="1"/>
  <c r="G4" i="1"/>
  <c r="G3" i="1"/>
  <c r="G2" i="1"/>
  <c r="G611" i="1" l="1"/>
  <c r="G615" i="1"/>
  <c r="H615" i="1" s="1"/>
  <c r="I615" i="1" s="1"/>
  <c r="G610" i="1"/>
  <c r="H610" i="1" s="1"/>
  <c r="I610" i="1" s="1"/>
  <c r="H611" i="1"/>
  <c r="I611" i="1" s="1"/>
  <c r="G158" i="1"/>
  <c r="G571" i="1"/>
  <c r="H571" i="1" s="1"/>
  <c r="I571" i="1" s="1"/>
  <c r="G117" i="1"/>
  <c r="H117" i="1" s="1"/>
  <c r="I117" i="1" s="1"/>
  <c r="G113" i="1"/>
  <c r="H113" i="1" s="1"/>
  <c r="I113" i="1" s="1"/>
  <c r="G109" i="1"/>
  <c r="H109" i="1" s="1"/>
  <c r="I109" i="1" s="1"/>
  <c r="G105" i="1"/>
  <c r="H105" i="1" s="1"/>
  <c r="I105" i="1" s="1"/>
  <c r="G121" i="1"/>
  <c r="H121" i="1" s="1"/>
  <c r="I121" i="1" s="1"/>
  <c r="G689" i="1"/>
  <c r="H689" i="1" s="1"/>
  <c r="I689" i="1" s="1"/>
  <c r="G85" i="1"/>
  <c r="H85" i="1" s="1"/>
  <c r="I85" i="1" s="1"/>
  <c r="G83" i="1"/>
  <c r="H83" i="1" s="1"/>
  <c r="I83" i="1" s="1"/>
  <c r="G76" i="1"/>
  <c r="H76" i="1" s="1"/>
  <c r="I76" i="1" s="1"/>
  <c r="G81" i="1"/>
  <c r="H81" i="1" s="1"/>
  <c r="I81" i="1" s="1"/>
  <c r="G82" i="1"/>
  <c r="H82" i="1" s="1"/>
  <c r="I82" i="1" s="1"/>
  <c r="G75" i="1"/>
  <c r="H75" i="1" s="1"/>
  <c r="I75" i="1" s="1"/>
  <c r="G84" i="1"/>
  <c r="H84" i="1" s="1"/>
  <c r="I84" i="1" s="1"/>
  <c r="G77" i="1"/>
  <c r="H77" i="1" s="1"/>
  <c r="I77" i="1" s="1"/>
  <c r="G147" i="1"/>
  <c r="H147" i="1" s="1"/>
  <c r="I147" i="1" s="1"/>
  <c r="G684" i="1"/>
  <c r="H684" i="1" s="1"/>
  <c r="I684" i="1" s="1"/>
  <c r="G225" i="1"/>
  <c r="H225" i="1" s="1"/>
  <c r="I225" i="1" s="1"/>
  <c r="G224" i="1"/>
  <c r="H224" i="1" s="1"/>
  <c r="I224" i="1" s="1"/>
  <c r="G411" i="1"/>
  <c r="H411" i="1" s="1"/>
  <c r="I411" i="1" s="1"/>
  <c r="G416" i="1"/>
  <c r="H416" i="1" s="1"/>
  <c r="I416" i="1" s="1"/>
  <c r="G690" i="1"/>
  <c r="H690" i="1" s="1"/>
  <c r="I690" i="1" s="1"/>
  <c r="G683" i="1"/>
  <c r="H683" i="1" s="1"/>
  <c r="I683" i="1" s="1"/>
  <c r="G675" i="1"/>
  <c r="H675" i="1" s="1"/>
  <c r="I675" i="1" s="1"/>
  <c r="G679" i="1"/>
  <c r="H679" i="1" s="1"/>
  <c r="I679" i="1" s="1"/>
  <c r="G666" i="1"/>
  <c r="H666" i="1" s="1"/>
  <c r="I666" i="1" s="1"/>
  <c r="G663" i="1"/>
  <c r="H663" i="1" s="1"/>
  <c r="I663" i="1" s="1"/>
  <c r="G658" i="1"/>
  <c r="H658" i="1" s="1"/>
  <c r="I658" i="1" s="1"/>
  <c r="G647" i="1"/>
  <c r="H647" i="1" s="1"/>
  <c r="I647" i="1" s="1"/>
  <c r="G579" i="1"/>
  <c r="G583" i="1"/>
  <c r="G587" i="1"/>
  <c r="G572" i="1"/>
  <c r="H572" i="1" s="1"/>
  <c r="I572" i="1" s="1"/>
  <c r="G563" i="1"/>
  <c r="G557" i="1"/>
  <c r="G497" i="1"/>
  <c r="H497" i="1" s="1"/>
  <c r="I497" i="1" s="1"/>
  <c r="G501" i="1"/>
  <c r="H501" i="1" s="1"/>
  <c r="I501" i="1" s="1"/>
  <c r="G505" i="1"/>
  <c r="H505" i="1" s="1"/>
  <c r="I505" i="1" s="1"/>
  <c r="G509" i="1"/>
  <c r="H509" i="1" s="1"/>
  <c r="I509" i="1" s="1"/>
  <c r="G513" i="1"/>
  <c r="H513" i="1" s="1"/>
  <c r="I513" i="1" s="1"/>
  <c r="G517" i="1"/>
  <c r="H517" i="1" s="1"/>
  <c r="I517" i="1" s="1"/>
  <c r="G521" i="1"/>
  <c r="H521" i="1" s="1"/>
  <c r="I521" i="1" s="1"/>
  <c r="G527" i="1"/>
  <c r="H527" i="1" s="1"/>
  <c r="I527" i="1" s="1"/>
  <c r="G526" i="1"/>
  <c r="H526" i="1" s="1"/>
  <c r="I526" i="1" s="1"/>
  <c r="G423" i="1"/>
  <c r="H423" i="1" s="1"/>
  <c r="I423" i="1" s="1"/>
  <c r="G427" i="1"/>
  <c r="H427" i="1" s="1"/>
  <c r="I427" i="1" s="1"/>
  <c r="G431" i="1"/>
  <c r="H431" i="1" s="1"/>
  <c r="I431" i="1" s="1"/>
  <c r="G435" i="1"/>
  <c r="H435" i="1" s="1"/>
  <c r="I435" i="1" s="1"/>
  <c r="G439" i="1"/>
  <c r="H439" i="1" s="1"/>
  <c r="I439" i="1" s="1"/>
  <c r="G443" i="1"/>
  <c r="H443" i="1" s="1"/>
  <c r="I443" i="1" s="1"/>
  <c r="G413" i="1"/>
  <c r="H413" i="1" s="1"/>
  <c r="I413" i="1" s="1"/>
  <c r="G396" i="1"/>
  <c r="H396" i="1" s="1"/>
  <c r="I396" i="1" s="1"/>
  <c r="G400" i="1"/>
  <c r="H400" i="1" s="1"/>
  <c r="I400" i="1" s="1"/>
  <c r="G404" i="1"/>
  <c r="H404" i="1" s="1"/>
  <c r="I404" i="1" s="1"/>
  <c r="G391" i="1"/>
  <c r="H391" i="1" s="1"/>
  <c r="I391" i="1" s="1"/>
  <c r="G375" i="1"/>
  <c r="H375" i="1" s="1"/>
  <c r="I375" i="1" s="1"/>
  <c r="G379" i="1"/>
  <c r="H379" i="1" s="1"/>
  <c r="I379" i="1" s="1"/>
  <c r="G373" i="1"/>
  <c r="H373" i="1" s="1"/>
  <c r="I373" i="1" s="1"/>
  <c r="G345" i="1"/>
  <c r="H345" i="1" s="1"/>
  <c r="I345" i="1" s="1"/>
  <c r="G338" i="1"/>
  <c r="H338" i="1" s="1"/>
  <c r="I338" i="1" s="1"/>
  <c r="G328" i="1"/>
  <c r="H328" i="1" s="1"/>
  <c r="I328" i="1" s="1"/>
  <c r="G318" i="1"/>
  <c r="H318" i="1" s="1"/>
  <c r="I318" i="1" s="1"/>
  <c r="G309" i="1"/>
  <c r="H309" i="1" s="1"/>
  <c r="I309" i="1" s="1"/>
  <c r="G298" i="1"/>
  <c r="H298" i="1" s="1"/>
  <c r="I298" i="1" s="1"/>
  <c r="G302" i="1"/>
  <c r="H302" i="1" s="1"/>
  <c r="I302" i="1" s="1"/>
  <c r="G487" i="1"/>
  <c r="H487" i="1" s="1"/>
  <c r="I487" i="1" s="1"/>
  <c r="G282" i="1"/>
  <c r="H282" i="1" s="1"/>
  <c r="I282" i="1" s="1"/>
  <c r="G290" i="1"/>
  <c r="H290" i="1" s="1"/>
  <c r="I290" i="1" s="1"/>
  <c r="G249" i="1"/>
  <c r="H249" i="1" s="1"/>
  <c r="I249" i="1" s="1"/>
  <c r="G253" i="1"/>
  <c r="H253" i="1" s="1"/>
  <c r="I253" i="1" s="1"/>
  <c r="G244" i="1"/>
  <c r="H244" i="1" s="1"/>
  <c r="I244" i="1" s="1"/>
  <c r="G232" i="1"/>
  <c r="H232" i="1" s="1"/>
  <c r="I232" i="1" s="1"/>
  <c r="G221" i="1"/>
  <c r="H221" i="1" s="1"/>
  <c r="I221" i="1" s="1"/>
  <c r="G219" i="1"/>
  <c r="H219" i="1" s="1"/>
  <c r="I219" i="1" s="1"/>
  <c r="G199" i="1"/>
  <c r="H199" i="1" s="1"/>
  <c r="I199" i="1" s="1"/>
  <c r="G203" i="1"/>
  <c r="H203" i="1" s="1"/>
  <c r="I203" i="1" s="1"/>
  <c r="G207" i="1"/>
  <c r="H207" i="1" s="1"/>
  <c r="I207" i="1" s="1"/>
  <c r="G193" i="1"/>
  <c r="H193" i="1" s="1"/>
  <c r="I193" i="1" s="1"/>
  <c r="G175" i="1"/>
  <c r="H175" i="1" s="1"/>
  <c r="I175" i="1" s="1"/>
  <c r="G159" i="1"/>
  <c r="H159" i="1" s="1"/>
  <c r="I159" i="1" s="1"/>
  <c r="H158" i="1"/>
  <c r="I158" i="1" s="1"/>
  <c r="G148" i="1"/>
  <c r="H148" i="1" s="1"/>
  <c r="I148" i="1" s="1"/>
  <c r="G137" i="1"/>
  <c r="H137" i="1" s="1"/>
  <c r="I137" i="1" s="1"/>
  <c r="G134" i="1"/>
  <c r="H134" i="1" s="1"/>
  <c r="I134" i="1" s="1"/>
  <c r="G125" i="1"/>
  <c r="H125" i="1" s="1"/>
  <c r="I125" i="1" s="1"/>
  <c r="G129" i="1"/>
  <c r="H129" i="1" s="1"/>
  <c r="I129" i="1" s="1"/>
  <c r="G70" i="1"/>
  <c r="H70" i="1" s="1"/>
  <c r="I70" i="1" s="1"/>
  <c r="G58" i="1"/>
  <c r="H58" i="1" s="1"/>
  <c r="I58" i="1" s="1"/>
  <c r="G40" i="1"/>
  <c r="H40" i="1" s="1"/>
  <c r="I40" i="1" s="1"/>
  <c r="G44" i="1"/>
  <c r="H44" i="1" s="1"/>
  <c r="I44" i="1" s="1"/>
  <c r="G33" i="1"/>
  <c r="H33" i="1" s="1"/>
  <c r="I33" i="1" s="1"/>
  <c r="G669" i="1"/>
  <c r="H669" i="1" s="1"/>
  <c r="I669" i="1" s="1"/>
  <c r="G578" i="1"/>
  <c r="G586" i="1"/>
  <c r="G559" i="1"/>
  <c r="G500" i="1"/>
  <c r="H500" i="1" s="1"/>
  <c r="I500" i="1" s="1"/>
  <c r="G512" i="1"/>
  <c r="H512" i="1" s="1"/>
  <c r="I512" i="1" s="1"/>
  <c r="G422" i="1"/>
  <c r="H422" i="1" s="1"/>
  <c r="I422" i="1" s="1"/>
  <c r="G434" i="1"/>
  <c r="H434" i="1" s="1"/>
  <c r="I434" i="1" s="1"/>
  <c r="G688" i="1"/>
  <c r="H688" i="1" s="1"/>
  <c r="I688" i="1" s="1"/>
  <c r="G676" i="1"/>
  <c r="H676" i="1" s="1"/>
  <c r="I676" i="1" s="1"/>
  <c r="G673" i="1"/>
  <c r="H673" i="1" s="1"/>
  <c r="I673" i="1" s="1"/>
  <c r="G667" i="1"/>
  <c r="H667" i="1" s="1"/>
  <c r="I667" i="1" s="1"/>
  <c r="G655" i="1"/>
  <c r="H655" i="1" s="1"/>
  <c r="I655" i="1" s="1"/>
  <c r="G659" i="1"/>
  <c r="H659" i="1" s="1"/>
  <c r="I659" i="1" s="1"/>
  <c r="G592" i="1"/>
  <c r="G580" i="1"/>
  <c r="G584" i="1"/>
  <c r="G588" i="1"/>
  <c r="G569" i="1"/>
  <c r="H569" i="1" s="1"/>
  <c r="I569" i="1" s="1"/>
  <c r="G558" i="1"/>
  <c r="G494" i="1"/>
  <c r="H494" i="1" s="1"/>
  <c r="I494" i="1" s="1"/>
  <c r="G498" i="1"/>
  <c r="H498" i="1" s="1"/>
  <c r="I498" i="1" s="1"/>
  <c r="G502" i="1"/>
  <c r="H502" i="1" s="1"/>
  <c r="I502" i="1" s="1"/>
  <c r="G506" i="1"/>
  <c r="H506" i="1" s="1"/>
  <c r="I506" i="1" s="1"/>
  <c r="G510" i="1"/>
  <c r="H510" i="1" s="1"/>
  <c r="I510" i="1" s="1"/>
  <c r="G514" i="1"/>
  <c r="H514" i="1" s="1"/>
  <c r="I514" i="1" s="1"/>
  <c r="G518" i="1"/>
  <c r="H518" i="1" s="1"/>
  <c r="I518" i="1" s="1"/>
  <c r="G522" i="1"/>
  <c r="H522" i="1" s="1"/>
  <c r="I522" i="1" s="1"/>
  <c r="G530" i="1"/>
  <c r="H530" i="1" s="1"/>
  <c r="I530" i="1" s="1"/>
  <c r="G470" i="1"/>
  <c r="H470" i="1" s="1"/>
  <c r="I470" i="1" s="1"/>
  <c r="G424" i="1"/>
  <c r="H424" i="1" s="1"/>
  <c r="I424" i="1" s="1"/>
  <c r="G428" i="1"/>
  <c r="H428" i="1" s="1"/>
  <c r="I428" i="1" s="1"/>
  <c r="G432" i="1"/>
  <c r="H432" i="1" s="1"/>
  <c r="I432" i="1" s="1"/>
  <c r="G436" i="1"/>
  <c r="H436" i="1" s="1"/>
  <c r="I436" i="1" s="1"/>
  <c r="G440" i="1"/>
  <c r="H440" i="1" s="1"/>
  <c r="I440" i="1" s="1"/>
  <c r="G444" i="1"/>
  <c r="H444" i="1" s="1"/>
  <c r="I444" i="1" s="1"/>
  <c r="G414" i="1"/>
  <c r="H414" i="1" s="1"/>
  <c r="I414" i="1" s="1"/>
  <c r="G397" i="1"/>
  <c r="H397" i="1" s="1"/>
  <c r="I397" i="1" s="1"/>
  <c r="G401" i="1"/>
  <c r="H401" i="1" s="1"/>
  <c r="I401" i="1" s="1"/>
  <c r="G405" i="1"/>
  <c r="H405" i="1" s="1"/>
  <c r="I405" i="1" s="1"/>
  <c r="G387" i="1"/>
  <c r="H387" i="1" s="1"/>
  <c r="I387" i="1" s="1"/>
  <c r="G376" i="1"/>
  <c r="H376" i="1" s="1"/>
  <c r="I376" i="1" s="1"/>
  <c r="G380" i="1"/>
  <c r="H380" i="1" s="1"/>
  <c r="I380" i="1" s="1"/>
  <c r="G346" i="1"/>
  <c r="H346" i="1" s="1"/>
  <c r="I346" i="1" s="1"/>
  <c r="G339" i="1"/>
  <c r="H339" i="1" s="1"/>
  <c r="I339" i="1" s="1"/>
  <c r="G333" i="1"/>
  <c r="H333" i="1" s="1"/>
  <c r="I333" i="1" s="1"/>
  <c r="G324" i="1"/>
  <c r="H324" i="1" s="1"/>
  <c r="I324" i="1" s="1"/>
  <c r="G314" i="1"/>
  <c r="H314" i="1" s="1"/>
  <c r="I314" i="1" s="1"/>
  <c r="G310" i="1"/>
  <c r="H310" i="1" s="1"/>
  <c r="I310" i="1" s="1"/>
  <c r="G299" i="1"/>
  <c r="H299" i="1" s="1"/>
  <c r="I299" i="1" s="1"/>
  <c r="G296" i="1"/>
  <c r="H296" i="1" s="1"/>
  <c r="I296" i="1" s="1"/>
  <c r="G488" i="1"/>
  <c r="H488" i="1" s="1"/>
  <c r="I488" i="1" s="1"/>
  <c r="G287" i="1"/>
  <c r="H287" i="1" s="1"/>
  <c r="I287" i="1" s="1"/>
  <c r="G291" i="1"/>
  <c r="H291" i="1" s="1"/>
  <c r="I291" i="1" s="1"/>
  <c r="G250" i="1"/>
  <c r="H250" i="1" s="1"/>
  <c r="I250" i="1" s="1"/>
  <c r="G248" i="1"/>
  <c r="H248" i="1" s="1"/>
  <c r="I248" i="1" s="1"/>
  <c r="G241" i="1"/>
  <c r="H241" i="1" s="1"/>
  <c r="I241" i="1" s="1"/>
  <c r="G233" i="1"/>
  <c r="H233" i="1" s="1"/>
  <c r="I233" i="1" s="1"/>
  <c r="G222" i="1"/>
  <c r="H222" i="1" s="1"/>
  <c r="I222" i="1" s="1"/>
  <c r="G214" i="1"/>
  <c r="H214" i="1" s="1"/>
  <c r="I214" i="1" s="1"/>
  <c r="G200" i="1"/>
  <c r="H200" i="1" s="1"/>
  <c r="I200" i="1" s="1"/>
  <c r="G204" i="1"/>
  <c r="H204" i="1" s="1"/>
  <c r="I204" i="1" s="1"/>
  <c r="G208" i="1"/>
  <c r="H208" i="1" s="1"/>
  <c r="I208" i="1" s="1"/>
  <c r="G194" i="1"/>
  <c r="H194" i="1" s="1"/>
  <c r="I194" i="1" s="1"/>
  <c r="G171" i="1"/>
  <c r="H171" i="1" s="1"/>
  <c r="I171" i="1" s="1"/>
  <c r="G160" i="1"/>
  <c r="H160" i="1" s="1"/>
  <c r="I160" i="1" s="1"/>
  <c r="G153" i="1"/>
  <c r="H153" i="1" s="1"/>
  <c r="I153" i="1" s="1"/>
  <c r="G146" i="1"/>
  <c r="H146" i="1" s="1"/>
  <c r="I146" i="1" s="1"/>
  <c r="G138" i="1"/>
  <c r="H138" i="1" s="1"/>
  <c r="I138" i="1" s="1"/>
  <c r="G122" i="1"/>
  <c r="H122" i="1" s="1"/>
  <c r="I122" i="1" s="1"/>
  <c r="G126" i="1"/>
  <c r="H126" i="1" s="1"/>
  <c r="I126" i="1" s="1"/>
  <c r="G130" i="1"/>
  <c r="H130" i="1" s="1"/>
  <c r="I130" i="1" s="1"/>
  <c r="G71" i="1"/>
  <c r="H71" i="1" s="1"/>
  <c r="I71" i="1" s="1"/>
  <c r="G50" i="1"/>
  <c r="H50" i="1" s="1"/>
  <c r="I50" i="1" s="1"/>
  <c r="G41" i="1"/>
  <c r="H41" i="1" s="1"/>
  <c r="I41" i="1" s="1"/>
  <c r="G38" i="1"/>
  <c r="H38" i="1" s="1"/>
  <c r="I38" i="1" s="1"/>
  <c r="G34" i="1"/>
  <c r="H34" i="1" s="1"/>
  <c r="I34" i="1" s="1"/>
  <c r="G678" i="1"/>
  <c r="H678" i="1" s="1"/>
  <c r="I678" i="1" s="1"/>
  <c r="G648" i="1"/>
  <c r="H648" i="1" s="1"/>
  <c r="I648" i="1" s="1"/>
  <c r="G570" i="1"/>
  <c r="H570" i="1" s="1"/>
  <c r="I570" i="1" s="1"/>
  <c r="G496" i="1"/>
  <c r="H496" i="1" s="1"/>
  <c r="I496" i="1" s="1"/>
  <c r="G508" i="1"/>
  <c r="H508" i="1" s="1"/>
  <c r="I508" i="1" s="1"/>
  <c r="G520" i="1"/>
  <c r="H520" i="1" s="1"/>
  <c r="I520" i="1" s="1"/>
  <c r="G426" i="1"/>
  <c r="H426" i="1" s="1"/>
  <c r="I426" i="1" s="1"/>
  <c r="G438" i="1"/>
  <c r="H438" i="1" s="1"/>
  <c r="I438" i="1" s="1"/>
  <c r="G54" i="1"/>
  <c r="H54" i="1" s="1"/>
  <c r="I54" i="1" s="1"/>
  <c r="G677" i="1"/>
  <c r="H677" i="1" s="1"/>
  <c r="I677" i="1" s="1"/>
  <c r="G664" i="1"/>
  <c r="H664" i="1" s="1"/>
  <c r="I664" i="1" s="1"/>
  <c r="G668" i="1"/>
  <c r="H668" i="1" s="1"/>
  <c r="I668" i="1" s="1"/>
  <c r="G656" i="1"/>
  <c r="H656" i="1" s="1"/>
  <c r="I656" i="1" s="1"/>
  <c r="G654" i="1"/>
  <c r="H654" i="1" s="1"/>
  <c r="I654" i="1" s="1"/>
  <c r="G577" i="1"/>
  <c r="G581" i="1"/>
  <c r="G585" i="1"/>
  <c r="G576" i="1"/>
  <c r="G564" i="1"/>
  <c r="G495" i="1"/>
  <c r="H495" i="1" s="1"/>
  <c r="I495" i="1" s="1"/>
  <c r="G499" i="1"/>
  <c r="H499" i="1" s="1"/>
  <c r="I499" i="1" s="1"/>
  <c r="G503" i="1"/>
  <c r="H503" i="1" s="1"/>
  <c r="I503" i="1" s="1"/>
  <c r="G507" i="1"/>
  <c r="H507" i="1" s="1"/>
  <c r="I507" i="1" s="1"/>
  <c r="G511" i="1"/>
  <c r="H511" i="1" s="1"/>
  <c r="I511" i="1" s="1"/>
  <c r="G515" i="1"/>
  <c r="H515" i="1" s="1"/>
  <c r="I515" i="1" s="1"/>
  <c r="G519" i="1"/>
  <c r="H519" i="1" s="1"/>
  <c r="I519" i="1" s="1"/>
  <c r="G493" i="1"/>
  <c r="H493" i="1" s="1"/>
  <c r="I493" i="1" s="1"/>
  <c r="G532" i="1"/>
  <c r="H532" i="1" s="1"/>
  <c r="I532" i="1" s="1"/>
  <c r="G463" i="1"/>
  <c r="H463" i="1" s="1"/>
  <c r="I463" i="1" s="1"/>
  <c r="G425" i="1"/>
  <c r="H425" i="1" s="1"/>
  <c r="I425" i="1" s="1"/>
  <c r="G429" i="1"/>
  <c r="H429" i="1" s="1"/>
  <c r="I429" i="1" s="1"/>
  <c r="G433" i="1"/>
  <c r="H433" i="1" s="1"/>
  <c r="I433" i="1" s="1"/>
  <c r="G437" i="1"/>
  <c r="H437" i="1" s="1"/>
  <c r="I437" i="1" s="1"/>
  <c r="G441" i="1"/>
  <c r="H441" i="1" s="1"/>
  <c r="I441" i="1" s="1"/>
  <c r="G421" i="1"/>
  <c r="H421" i="1" s="1"/>
  <c r="I421" i="1" s="1"/>
  <c r="G398" i="1"/>
  <c r="H398" i="1" s="1"/>
  <c r="I398" i="1" s="1"/>
  <c r="G402" i="1"/>
  <c r="H402" i="1" s="1"/>
  <c r="I402" i="1" s="1"/>
  <c r="G406" i="1"/>
  <c r="H406" i="1" s="1"/>
  <c r="I406" i="1" s="1"/>
  <c r="G386" i="1"/>
  <c r="H386" i="1" s="1"/>
  <c r="I386" i="1" s="1"/>
  <c r="G377" i="1"/>
  <c r="H377" i="1" s="1"/>
  <c r="I377" i="1" s="1"/>
  <c r="G381" i="1"/>
  <c r="H381" i="1" s="1"/>
  <c r="I381" i="1" s="1"/>
  <c r="G347" i="1"/>
  <c r="H347" i="1" s="1"/>
  <c r="I347" i="1" s="1"/>
  <c r="G340" i="1"/>
  <c r="H340" i="1" s="1"/>
  <c r="I340" i="1" s="1"/>
  <c r="G334" i="1"/>
  <c r="H334" i="1" s="1"/>
  <c r="I334" i="1" s="1"/>
  <c r="G323" i="1"/>
  <c r="H323" i="1" s="1"/>
  <c r="I323" i="1" s="1"/>
  <c r="G307" i="1"/>
  <c r="H307" i="1" s="1"/>
  <c r="I307" i="1" s="1"/>
  <c r="G306" i="1"/>
  <c r="H306" i="1" s="1"/>
  <c r="I306" i="1" s="1"/>
  <c r="G300" i="1"/>
  <c r="H300" i="1" s="1"/>
  <c r="I300" i="1" s="1"/>
  <c r="G482" i="1"/>
  <c r="H482" i="1" s="1"/>
  <c r="I482" i="1" s="1"/>
  <c r="G489" i="1"/>
  <c r="H489" i="1" s="1"/>
  <c r="I489" i="1" s="1"/>
  <c r="G288" i="1"/>
  <c r="H288" i="1" s="1"/>
  <c r="I288" i="1" s="1"/>
  <c r="G292" i="1"/>
  <c r="H292" i="1" s="1"/>
  <c r="I292" i="1" s="1"/>
  <c r="G251" i="1"/>
  <c r="H251" i="1" s="1"/>
  <c r="I251" i="1" s="1"/>
  <c r="G242" i="1"/>
  <c r="H242" i="1" s="1"/>
  <c r="I242" i="1" s="1"/>
  <c r="G237" i="1"/>
  <c r="H237" i="1" s="1"/>
  <c r="I237" i="1" s="1"/>
  <c r="G230" i="1"/>
  <c r="H230" i="1" s="1"/>
  <c r="I230" i="1" s="1"/>
  <c r="G223" i="1"/>
  <c r="H223" i="1" s="1"/>
  <c r="I223" i="1" s="1"/>
  <c r="G215" i="1"/>
  <c r="H215" i="1" s="1"/>
  <c r="I215" i="1" s="1"/>
  <c r="G201" i="1"/>
  <c r="H201" i="1" s="1"/>
  <c r="I201" i="1" s="1"/>
  <c r="G205" i="1"/>
  <c r="H205" i="1" s="1"/>
  <c r="I205" i="1" s="1"/>
  <c r="G209" i="1"/>
  <c r="H209" i="1" s="1"/>
  <c r="I209" i="1" s="1"/>
  <c r="G192" i="1"/>
  <c r="H192" i="1" s="1"/>
  <c r="I192" i="1" s="1"/>
  <c r="G167" i="1"/>
  <c r="H167" i="1" s="1"/>
  <c r="I167" i="1" s="1"/>
  <c r="G161" i="1"/>
  <c r="H161" i="1" s="1"/>
  <c r="I161" i="1" s="1"/>
  <c r="G154" i="1"/>
  <c r="H154" i="1" s="1"/>
  <c r="I154" i="1" s="1"/>
  <c r="G135" i="1"/>
  <c r="H135" i="1" s="1"/>
  <c r="I135" i="1" s="1"/>
  <c r="G139" i="1"/>
  <c r="H139" i="1" s="1"/>
  <c r="I139" i="1" s="1"/>
  <c r="G123" i="1"/>
  <c r="H123" i="1" s="1"/>
  <c r="I123" i="1" s="1"/>
  <c r="G127" i="1"/>
  <c r="H127" i="1" s="1"/>
  <c r="I127" i="1" s="1"/>
  <c r="G68" i="1"/>
  <c r="H68" i="1" s="1"/>
  <c r="I68" i="1" s="1"/>
  <c r="G49" i="1"/>
  <c r="H49" i="1" s="1"/>
  <c r="I49" i="1" s="1"/>
  <c r="G42" i="1"/>
  <c r="H42" i="1" s="1"/>
  <c r="I42" i="1" s="1"/>
  <c r="G31" i="1"/>
  <c r="H31" i="1" s="1"/>
  <c r="I31" i="1" s="1"/>
  <c r="G29" i="1"/>
  <c r="H29" i="1" s="1"/>
  <c r="I29" i="1" s="1"/>
  <c r="G45" i="1"/>
  <c r="H45" i="1" s="1"/>
  <c r="I45" i="1" s="1"/>
  <c r="G674" i="1"/>
  <c r="H674" i="1" s="1"/>
  <c r="I674" i="1" s="1"/>
  <c r="G665" i="1"/>
  <c r="H665" i="1" s="1"/>
  <c r="I665" i="1" s="1"/>
  <c r="G657" i="1"/>
  <c r="H657" i="1" s="1"/>
  <c r="I657" i="1" s="1"/>
  <c r="G582" i="1"/>
  <c r="G565" i="1"/>
  <c r="G504" i="1"/>
  <c r="H504" i="1" s="1"/>
  <c r="I504" i="1" s="1"/>
  <c r="G516" i="1"/>
  <c r="H516" i="1" s="1"/>
  <c r="I516" i="1" s="1"/>
  <c r="G534" i="1"/>
  <c r="H534" i="1" s="1"/>
  <c r="I534" i="1" s="1"/>
  <c r="G442" i="1"/>
  <c r="H442" i="1" s="1"/>
  <c r="I442" i="1" s="1"/>
  <c r="G403" i="1"/>
  <c r="H403" i="1" s="1"/>
  <c r="I403" i="1" s="1"/>
  <c r="G382" i="1"/>
  <c r="H382" i="1" s="1"/>
  <c r="I382" i="1" s="1"/>
  <c r="G319" i="1"/>
  <c r="H319" i="1" s="1"/>
  <c r="I319" i="1" s="1"/>
  <c r="G481" i="1"/>
  <c r="H481" i="1" s="1"/>
  <c r="I481" i="1" s="1"/>
  <c r="G252" i="1"/>
  <c r="H252" i="1" s="1"/>
  <c r="I252" i="1" s="1"/>
  <c r="G226" i="1"/>
  <c r="H226" i="1" s="1"/>
  <c r="I226" i="1" s="1"/>
  <c r="G198" i="1"/>
  <c r="H198" i="1" s="1"/>
  <c r="I198" i="1" s="1"/>
  <c r="G152" i="1"/>
  <c r="H152" i="1" s="1"/>
  <c r="I152" i="1" s="1"/>
  <c r="G128" i="1"/>
  <c r="H128" i="1" s="1"/>
  <c r="I128" i="1" s="1"/>
  <c r="G69" i="1"/>
  <c r="H69" i="1" s="1"/>
  <c r="I69" i="1" s="1"/>
  <c r="G32" i="1"/>
  <c r="H32" i="1" s="1"/>
  <c r="I32" i="1" s="1"/>
  <c r="G410" i="1"/>
  <c r="H410" i="1" s="1"/>
  <c r="I410" i="1" s="1"/>
  <c r="G341" i="1"/>
  <c r="H341" i="1" s="1"/>
  <c r="I341" i="1" s="1"/>
  <c r="G289" i="1"/>
  <c r="H289" i="1" s="1"/>
  <c r="I289" i="1" s="1"/>
  <c r="G202" i="1"/>
  <c r="H202" i="1" s="1"/>
  <c r="I202" i="1" s="1"/>
  <c r="G140" i="1"/>
  <c r="H140" i="1" s="1"/>
  <c r="I140" i="1" s="1"/>
  <c r="G430" i="1"/>
  <c r="H430" i="1" s="1"/>
  <c r="I430" i="1" s="1"/>
  <c r="G378" i="1"/>
  <c r="H378" i="1" s="1"/>
  <c r="I378" i="1" s="1"/>
  <c r="G301" i="1"/>
  <c r="H301" i="1" s="1"/>
  <c r="I301" i="1" s="1"/>
  <c r="G220" i="1"/>
  <c r="H220" i="1" s="1"/>
  <c r="I220" i="1" s="1"/>
  <c r="G206" i="1"/>
  <c r="H206" i="1" s="1"/>
  <c r="I206" i="1" s="1"/>
  <c r="G124" i="1"/>
  <c r="H124" i="1" s="1"/>
  <c r="I124" i="1" s="1"/>
  <c r="G43" i="1"/>
  <c r="H43" i="1" s="1"/>
  <c r="I43" i="1" s="1"/>
  <c r="G395" i="1"/>
  <c r="H395" i="1" s="1"/>
  <c r="I395" i="1" s="1"/>
  <c r="G348" i="1"/>
  <c r="H348" i="1" s="1"/>
  <c r="I348" i="1" s="1"/>
  <c r="G308" i="1"/>
  <c r="H308" i="1" s="1"/>
  <c r="I308" i="1" s="1"/>
  <c r="G486" i="1"/>
  <c r="H486" i="1" s="1"/>
  <c r="I486" i="1" s="1"/>
  <c r="G243" i="1"/>
  <c r="H243" i="1" s="1"/>
  <c r="I243" i="1" s="1"/>
  <c r="G213" i="1"/>
  <c r="H213" i="1" s="1"/>
  <c r="I213" i="1" s="1"/>
  <c r="G176" i="1"/>
  <c r="H176" i="1" s="1"/>
  <c r="I176" i="1" s="1"/>
  <c r="G136" i="1"/>
  <c r="H136" i="1" s="1"/>
  <c r="I136" i="1" s="1"/>
  <c r="G64" i="1"/>
  <c r="H64" i="1" s="1"/>
  <c r="I64" i="1" s="1"/>
  <c r="G374" i="1"/>
  <c r="H374" i="1" s="1"/>
  <c r="I374" i="1" s="1"/>
  <c r="G297" i="1"/>
  <c r="H297" i="1" s="1"/>
  <c r="I297" i="1" s="1"/>
  <c r="G231" i="1"/>
  <c r="H231" i="1" s="1"/>
  <c r="I231" i="1" s="1"/>
  <c r="G166" i="1"/>
  <c r="H166" i="1" s="1"/>
  <c r="I166" i="1" s="1"/>
  <c r="G39" i="1"/>
  <c r="H39" i="1" s="1"/>
  <c r="I39" i="1" s="1"/>
  <c r="G399" i="1"/>
  <c r="H399" i="1" s="1"/>
  <c r="I399" i="1" s="1"/>
  <c r="G332" i="1"/>
  <c r="H332" i="1" s="1"/>
  <c r="I332" i="1" s="1"/>
  <c r="G286" i="1"/>
  <c r="H286" i="1" s="1"/>
  <c r="I286" i="1" s="1"/>
  <c r="G162" i="1"/>
  <c r="H162" i="1" s="1"/>
  <c r="I162" i="1" s="1"/>
  <c r="G20" i="1"/>
  <c r="H20" i="1" s="1"/>
  <c r="G24" i="1"/>
  <c r="H24" i="1" s="1"/>
  <c r="G23" i="1"/>
  <c r="H23" i="1" s="1"/>
  <c r="G21" i="1"/>
  <c r="G25" i="1"/>
  <c r="H25" i="1" s="1"/>
  <c r="G22" i="1"/>
  <c r="H22" i="1" s="1"/>
  <c r="I67" i="1"/>
  <c r="I63" i="1"/>
  <c r="H67" i="1"/>
  <c r="H63" i="1"/>
  <c r="G67" i="1"/>
  <c r="G63" i="1"/>
  <c r="I57" i="1"/>
  <c r="H57" i="1"/>
  <c r="G57" i="1"/>
  <c r="I53" i="1"/>
  <c r="H53" i="1"/>
  <c r="G53" i="1"/>
  <c r="H28" i="1"/>
  <c r="I48" i="1"/>
  <c r="H48" i="1"/>
  <c r="G48" i="1"/>
  <c r="I37" i="1"/>
  <c r="H37" i="1"/>
  <c r="G37" i="1"/>
  <c r="I28" i="1"/>
  <c r="I18" i="1"/>
  <c r="H18" i="1"/>
  <c r="G18" i="1"/>
  <c r="H559" i="1" l="1"/>
  <c r="I559" i="1" s="1"/>
  <c r="H557" i="1"/>
  <c r="I557" i="1" s="1"/>
  <c r="H558" i="1"/>
  <c r="I558" i="1" s="1"/>
  <c r="H563" i="1"/>
  <c r="I563" i="1" s="1"/>
  <c r="H564" i="1"/>
  <c r="I564" i="1" s="1"/>
  <c r="H565" i="1"/>
  <c r="I565" i="1" s="1"/>
  <c r="H592" i="1"/>
  <c r="I592" i="1" s="1"/>
  <c r="H588" i="1"/>
  <c r="I588" i="1" s="1"/>
  <c r="H587" i="1"/>
  <c r="I587" i="1" s="1"/>
  <c r="H586" i="1"/>
  <c r="I586" i="1" s="1"/>
  <c r="H585" i="1"/>
  <c r="I585" i="1" s="1"/>
  <c r="H584" i="1"/>
  <c r="I584" i="1" s="1"/>
  <c r="H583" i="1"/>
  <c r="I583" i="1" s="1"/>
  <c r="H582" i="1"/>
  <c r="I582" i="1" s="1"/>
  <c r="H581" i="1"/>
  <c r="I581" i="1" s="1"/>
  <c r="H580" i="1"/>
  <c r="I580" i="1" s="1"/>
  <c r="H579" i="1"/>
  <c r="I579" i="1" s="1"/>
  <c r="H578" i="1"/>
  <c r="I578" i="1" s="1"/>
  <c r="H577" i="1"/>
  <c r="I577" i="1" s="1"/>
  <c r="H576" i="1"/>
  <c r="I576" i="1" s="1"/>
  <c r="H21" i="1"/>
  <c r="I21" i="1" s="1"/>
  <c r="I25" i="1"/>
  <c r="I20" i="1"/>
  <c r="I24" i="1"/>
  <c r="I23" i="1"/>
  <c r="I22" i="1"/>
  <c r="G19" i="1" l="1"/>
  <c r="H19" i="1" s="1"/>
  <c r="I19" i="1" s="1"/>
</calcChain>
</file>

<file path=xl/sharedStrings.xml><?xml version="1.0" encoding="utf-8"?>
<sst xmlns="http://schemas.openxmlformats.org/spreadsheetml/2006/main" count="886" uniqueCount="535">
  <si>
    <t>Línea de Destapación</t>
  </si>
  <si>
    <t>Destapacañerías-Cañas-Flejes-Accesorios</t>
  </si>
  <si>
    <t>Art.</t>
  </si>
  <si>
    <t>Descripción</t>
  </si>
  <si>
    <t>Presentación</t>
  </si>
  <si>
    <t>Precio $ Unit</t>
  </si>
  <si>
    <t>Bonificación:</t>
  </si>
  <si>
    <t>Contado:</t>
  </si>
  <si>
    <t>Fleje de Acero de 1,5 mts.</t>
  </si>
  <si>
    <t>Caña de Polipropileno de 1,5 mts.</t>
  </si>
  <si>
    <t>Bocha</t>
  </si>
  <si>
    <t>Tirabuzón</t>
  </si>
  <si>
    <t>Sopapa</t>
  </si>
  <si>
    <t>Manija</t>
  </si>
  <si>
    <t>Cepillo</t>
  </si>
  <si>
    <t>ELÉCTRICA: 220-240 V. Incluye 20 mts de cable resorte de Ø1/2″</t>
  </si>
  <si>
    <t>y accesorios de destapación.</t>
  </si>
  <si>
    <t>Precio $</t>
  </si>
  <si>
    <t xml:space="preserve">MANUAL: con 15 mts. De cable resorte de  Ø1/2″ y accesorios de destapación </t>
  </si>
  <si>
    <t>Barrena</t>
  </si>
  <si>
    <t>Cortador</t>
  </si>
  <si>
    <t>Destapacañerías: Plásticos de Alta resistencia - Acero</t>
  </si>
  <si>
    <t>Plástico de 5 mts.</t>
  </si>
  <si>
    <t>Plástico de 10 mts.</t>
  </si>
  <si>
    <t>Plástico de 15 mts.</t>
  </si>
  <si>
    <t>Plástico de 20 mts.</t>
  </si>
  <si>
    <t>Acero de 5 mts.</t>
  </si>
  <si>
    <t>Acero de 10 mts.</t>
  </si>
  <si>
    <t>Acero de 15 mts.</t>
  </si>
  <si>
    <t>Acero de 20 mts.</t>
  </si>
  <si>
    <t>Destapapiletas plástico con interior de Acero</t>
  </si>
  <si>
    <t>4 mts.</t>
  </si>
  <si>
    <t>8 mts.</t>
  </si>
  <si>
    <t>Destapa Inodoros</t>
  </si>
  <si>
    <t>Destapa Inodoro</t>
  </si>
  <si>
    <t>Sopapa Destapacañerías</t>
  </si>
  <si>
    <t>Con doble sopapa de 60 y 165 mm</t>
  </si>
  <si>
    <t>Herramientas para Plomería</t>
  </si>
  <si>
    <t>Pinza de pico de Loro</t>
  </si>
  <si>
    <t>Pinza pico de loro 10"</t>
  </si>
  <si>
    <t>Corta caños</t>
  </si>
  <si>
    <t>Para caños de cobre y aleaciones 3-22 mm</t>
  </si>
  <si>
    <t>Para caños de cobre y aleaciones 3-30 mm</t>
  </si>
  <si>
    <t>Para caños de PVC 42 mm</t>
  </si>
  <si>
    <t>Para caños de SIGAS 14-63 mm</t>
  </si>
  <si>
    <t>Llave para Caños</t>
  </si>
  <si>
    <t>Capacidad  Ø</t>
  </si>
  <si>
    <t>Modelo sueco 1"</t>
  </si>
  <si>
    <t>Modelo sueco 2"</t>
  </si>
  <si>
    <t>Modelo sueco 1 1/2"</t>
  </si>
  <si>
    <t>25 mm</t>
  </si>
  <si>
    <t>37 mm</t>
  </si>
  <si>
    <t>50 mm</t>
  </si>
  <si>
    <t>Doblador manual para caños</t>
  </si>
  <si>
    <t>Para caños de cobre y aleaciones</t>
  </si>
  <si>
    <t>Fresadora para canillas</t>
  </si>
  <si>
    <t>RE591</t>
  </si>
  <si>
    <t>RE592</t>
  </si>
  <si>
    <t>RE593</t>
  </si>
  <si>
    <t>Fresadora con 1 fresa</t>
  </si>
  <si>
    <t>Fresadora con 3 fresas</t>
  </si>
  <si>
    <t>Rep. Fresa 3/8" x 6 unid.</t>
  </si>
  <si>
    <t>Rep. Fresa 1/2" x 6 unid.</t>
  </si>
  <si>
    <t>Rep. Fresa 3/4" x 6 unid.</t>
  </si>
  <si>
    <t>Precios sin IVA - Toda la lista posee la misma bonificación - Sujeta a modificaciones sin previo aviso</t>
  </si>
  <si>
    <t>Pestañadora</t>
  </si>
  <si>
    <t>Para caños de cobre, aluminio, bronce y aleaciones, de 6-15 mm</t>
  </si>
  <si>
    <t>Llave bajo Lavatorio</t>
  </si>
  <si>
    <t>Lápiz de Widia</t>
  </si>
  <si>
    <t>Lápiz de widia x 8 unid.</t>
  </si>
  <si>
    <t>972M</t>
  </si>
  <si>
    <t>970R</t>
  </si>
  <si>
    <t>973R</t>
  </si>
  <si>
    <t>977R</t>
  </si>
  <si>
    <t>16"</t>
  </si>
  <si>
    <t>20"</t>
  </si>
  <si>
    <t>24"</t>
  </si>
  <si>
    <t>24" con Maletín</t>
  </si>
  <si>
    <t>34"</t>
  </si>
  <si>
    <t>42"</t>
  </si>
  <si>
    <t>24" económica</t>
  </si>
  <si>
    <t>Rueda de Corte 970/1/2</t>
  </si>
  <si>
    <t>Rueda de Corte 973/4</t>
  </si>
  <si>
    <t>Rueda de Corte 977</t>
  </si>
  <si>
    <t>Resorte doblador de caños de Agua y Gas</t>
  </si>
  <si>
    <t>Diámetro</t>
  </si>
  <si>
    <t>3/8" Agua</t>
  </si>
  <si>
    <t>1/2" Agua</t>
  </si>
  <si>
    <t>3/4" Agua</t>
  </si>
  <si>
    <t>1" Agua</t>
  </si>
  <si>
    <t>1/4" Gas</t>
  </si>
  <si>
    <t>3/8" Gas</t>
  </si>
  <si>
    <t>3/4" Gas</t>
  </si>
  <si>
    <t>Herramientas Uso General</t>
  </si>
  <si>
    <t>Pistola aplicadora para cartuchos/adhesivos</t>
  </si>
  <si>
    <t>Recorrido</t>
  </si>
  <si>
    <t>Modelo Universal</t>
  </si>
  <si>
    <t>Modelo Profesional</t>
  </si>
  <si>
    <t>9"</t>
  </si>
  <si>
    <t>9,5"</t>
  </si>
  <si>
    <t>Arcos de Sierra</t>
  </si>
  <si>
    <t>Arco Junior Profesional 6"</t>
  </si>
  <si>
    <t>Arco de sierra Tubular 10" - 12"</t>
  </si>
  <si>
    <t>Arco de sierra alta tensión 10" - 12"</t>
  </si>
  <si>
    <t>Cutters Profesionales</t>
  </si>
  <si>
    <t>Metálico 9 mm</t>
  </si>
  <si>
    <t>Metálico 18 mm</t>
  </si>
  <si>
    <t>Metálico Trapezoidal 19x61 - Incluye 10 Hojas</t>
  </si>
  <si>
    <t>Plástico ABS 18 mm</t>
  </si>
  <si>
    <t>Plástico ABS 25 mm</t>
  </si>
  <si>
    <t>Remachadora Profesional</t>
  </si>
  <si>
    <t>Remachadora en chapa profesional 10"</t>
  </si>
  <si>
    <t>Cuerpo robusto de aluminio 10"</t>
  </si>
  <si>
    <t>Engrampadora Profesional</t>
  </si>
  <si>
    <t>Juegos limas profesionales</t>
  </si>
  <si>
    <t>3 Limas 8": plana - media caña - redonda</t>
  </si>
  <si>
    <t>5 Limas 8":plana-media caña-redonda-cuadrada-triangular</t>
  </si>
  <si>
    <t>Multiuso 50 mm</t>
  </si>
  <si>
    <t>Multiuso 70 mm</t>
  </si>
  <si>
    <t>Multiuso 100 mm</t>
  </si>
  <si>
    <t>Fundición Tipo G</t>
  </si>
  <si>
    <t>Tipo G 2" fundición NACIONAL</t>
  </si>
  <si>
    <t>Tipo G 3" fundición NACIONAL</t>
  </si>
  <si>
    <t>Tipo G 4" fundición NACIONAL</t>
  </si>
  <si>
    <t>Tipo G 5" fundición NACIONAL</t>
  </si>
  <si>
    <t>Tipo G 2" fundición IMPORTADA</t>
  </si>
  <si>
    <t>Tipo G 3" fundición IMPORTADA</t>
  </si>
  <si>
    <t>Tipo G 4" fundición IMPORTADA</t>
  </si>
  <si>
    <t>Tipo G 5" fundición IMPORTADA</t>
  </si>
  <si>
    <t>Tipo G 6" fundición IMPORTADA</t>
  </si>
  <si>
    <t>Tipo G 8" fundición IMPORTADA</t>
  </si>
  <si>
    <t>Tipo G 10" fundición IMPORTADA</t>
  </si>
  <si>
    <t>Tipo G 12" fundición IMPORTADA</t>
  </si>
  <si>
    <t>Prensas de Mano</t>
  </si>
  <si>
    <t>4"</t>
  </si>
  <si>
    <t>6"</t>
  </si>
  <si>
    <t>8"</t>
  </si>
  <si>
    <t>Sargentos para Carpintero</t>
  </si>
  <si>
    <t>60 x 150 mm</t>
  </si>
  <si>
    <t>80 x 200 mm</t>
  </si>
  <si>
    <t>80 x 400 mm</t>
  </si>
  <si>
    <t>100 x 600 mm</t>
  </si>
  <si>
    <t>100 x 800 mm</t>
  </si>
  <si>
    <t>120 x 1000 mm</t>
  </si>
  <si>
    <t>Sargentos de Ajuste Rápido</t>
  </si>
  <si>
    <t>18"</t>
  </si>
  <si>
    <t>32"</t>
  </si>
  <si>
    <t>Prensa carpintero para encuadrar</t>
  </si>
  <si>
    <t>angulo 90°</t>
  </si>
  <si>
    <t>Gira machos (Tipo mandril)</t>
  </si>
  <si>
    <t>N° 0 de 3/32 a 3/16"</t>
  </si>
  <si>
    <t>N° 1 de 5/32 a 1/4"</t>
  </si>
  <si>
    <t>N° 2 de 7/32 a 3/8"</t>
  </si>
  <si>
    <t>N° 3 de 3/8 a 1/2"</t>
  </si>
  <si>
    <t>Manija porta machos - porta cojinetes</t>
  </si>
  <si>
    <t>Porta cojinetes diámetro exterior 1"</t>
  </si>
  <si>
    <t>Porta cojinetes diámetro exterior 1 1/2"</t>
  </si>
  <si>
    <t>Porta cojinetes diámetro exterior 2"</t>
  </si>
  <si>
    <t>Mandril porta mechas con boquilla de precisión</t>
  </si>
  <si>
    <t>Juego de 2 mandriles con 6 boquillas intercambiables. Rango: 0,40-4,25 mm</t>
  </si>
  <si>
    <t>Mandril de 0,40-1,00</t>
  </si>
  <si>
    <t>Mandril de 1,25-1,50</t>
  </si>
  <si>
    <t>Mandril de 1,75-2,00</t>
  </si>
  <si>
    <t>Mandril de 2,25-2,50</t>
  </si>
  <si>
    <t>Mandril de 2,75-3,25</t>
  </si>
  <si>
    <t>Mandril de 3,50-4,25</t>
  </si>
  <si>
    <t>Mandril de precisión para agujereadora</t>
  </si>
  <si>
    <t>Juego de 4 boquillas intercambiables. Rango: 0,40-2,50 mm</t>
  </si>
  <si>
    <t>Punta de centrar - Trazar</t>
  </si>
  <si>
    <t>630x5</t>
  </si>
  <si>
    <t>631x5</t>
  </si>
  <si>
    <t>Punta de centrar</t>
  </si>
  <si>
    <t>Punta de trazar</t>
  </si>
  <si>
    <t>Blister x 5 unidades Punta de centrar</t>
  </si>
  <si>
    <t>Blister x 5 unidades Punta de trazar</t>
  </si>
  <si>
    <t>Corta Hierros - Puntas para la construcción</t>
  </si>
  <si>
    <t>Punta Hexagonal 5/8 x 250</t>
  </si>
  <si>
    <t>Punta Hexagonal 5/8 x 350</t>
  </si>
  <si>
    <t>Tijeras Cortapernos</t>
  </si>
  <si>
    <t>940M</t>
  </si>
  <si>
    <t>941M</t>
  </si>
  <si>
    <t>942M</t>
  </si>
  <si>
    <t>Mini cortapernos 8"</t>
  </si>
  <si>
    <t>Con cuchillas forjadas en Cromo Vanadio - 12"</t>
  </si>
  <si>
    <t>Con cuchillas forjadas en Cromo Vanadio - 18"</t>
  </si>
  <si>
    <t>Con cuchillas forjadas en Cromo Vanadio - 24"</t>
  </si>
  <si>
    <t>Repuesto Cuchilla 12"</t>
  </si>
  <si>
    <t>Repuesto Cuchilla 18"</t>
  </si>
  <si>
    <t>Repuesto Cuchilla 24"</t>
  </si>
  <si>
    <t>Morsas de Banco</t>
  </si>
  <si>
    <t>Ancho mordaza</t>
  </si>
  <si>
    <t>Peso Kg</t>
  </si>
  <si>
    <t>3"</t>
  </si>
  <si>
    <t>5"</t>
  </si>
  <si>
    <t>Morsa Cruz</t>
  </si>
  <si>
    <t>Morsa para Hobbista</t>
  </si>
  <si>
    <t>2"</t>
  </si>
  <si>
    <t>3 1/2"</t>
  </si>
  <si>
    <t>Morsa plana para perforadora</t>
  </si>
  <si>
    <t>Morsas para caños</t>
  </si>
  <si>
    <t>15 - 100 MM</t>
  </si>
  <si>
    <t>Morsas escuadra 90°</t>
  </si>
  <si>
    <t>Apertura MM</t>
  </si>
  <si>
    <t>Bigornias</t>
  </si>
  <si>
    <t>Largo MM</t>
  </si>
  <si>
    <t>Diámetro de caño</t>
  </si>
  <si>
    <t>Peso</t>
  </si>
  <si>
    <t>10 Kg</t>
  </si>
  <si>
    <t>25 Kg</t>
  </si>
  <si>
    <t>50 Kg</t>
  </si>
  <si>
    <t>85 Kg</t>
  </si>
  <si>
    <t>Pinceles Multiuso</t>
  </si>
  <si>
    <t>Herramientas para Automotor</t>
  </si>
  <si>
    <t>Sacafiltros</t>
  </si>
  <si>
    <t>Diámetro mm</t>
  </si>
  <si>
    <t>Fleje Chico</t>
  </si>
  <si>
    <t>Fleje Mediano</t>
  </si>
  <si>
    <t>Fleje Grande</t>
  </si>
  <si>
    <t>Repuesto Fleje x 2 Unidades</t>
  </si>
  <si>
    <t>200L</t>
  </si>
  <si>
    <t>201L</t>
  </si>
  <si>
    <t>Frontal Chico</t>
  </si>
  <si>
    <t>Frontal Grande</t>
  </si>
  <si>
    <t>Cadena Universal</t>
  </si>
  <si>
    <t>Cadena Universal Largo</t>
  </si>
  <si>
    <t>Cadena profesional 3 puntos</t>
  </si>
  <si>
    <t>Cadena profesional Largo</t>
  </si>
  <si>
    <t>50 a 75</t>
  </si>
  <si>
    <t>75 a 100</t>
  </si>
  <si>
    <t>100 a 130</t>
  </si>
  <si>
    <t>50-75/75-100/100-130</t>
  </si>
  <si>
    <t>Llaves para tapones de carter</t>
  </si>
  <si>
    <t>Línea Fiat-Peugeot</t>
  </si>
  <si>
    <t>Renault</t>
  </si>
  <si>
    <t>Set universal CH para tapones de carter, caja y diferenciales en acero especial templado</t>
  </si>
  <si>
    <t>Juego de 12 Puntas con 14 medidas</t>
  </si>
  <si>
    <t>Puntas individuales del set</t>
  </si>
  <si>
    <t>8 mm hexagonal</t>
  </si>
  <si>
    <t>9 mm hexagonal</t>
  </si>
  <si>
    <t>10 mm hexagonal</t>
  </si>
  <si>
    <t>12 mm hexagonal</t>
  </si>
  <si>
    <t>14 mm hexagonal</t>
  </si>
  <si>
    <t>16 mm hexagonal</t>
  </si>
  <si>
    <t>17 mm hexagonal</t>
  </si>
  <si>
    <t>19 mm hexagonal / 10 mm hex hembra</t>
  </si>
  <si>
    <t>21 mm hexagonal</t>
  </si>
  <si>
    <t>22 mm hexagonal / 10 mm cuadrado hembra</t>
  </si>
  <si>
    <t>8 mm cuadrado</t>
  </si>
  <si>
    <t>10 mm cuadrado</t>
  </si>
  <si>
    <t>Puntas hexagonales - milímetros - Pulgadas - Torx</t>
  </si>
  <si>
    <t>al 237</t>
  </si>
  <si>
    <t>al 247</t>
  </si>
  <si>
    <t>al 257</t>
  </si>
  <si>
    <t>Juego de 7 piezas mm</t>
  </si>
  <si>
    <t>puntas individuales de: 5 - 6 - 7 - 8 - 9 - 10 - 12 mm</t>
  </si>
  <si>
    <t>Juego de 7 piezas pulgadas</t>
  </si>
  <si>
    <t>Puntas individuales de: 3/16 - 7/32</t>
  </si>
  <si>
    <t>1/4 - 5/16 - 3/8 - 7/16 - 1/2</t>
  </si>
  <si>
    <t>Puntas individuales de: TX20 - TX25</t>
  </si>
  <si>
    <t>TX30 - TX40 - TX45 - TX50 - TX55</t>
  </si>
  <si>
    <t>Tapones de carter, caja y diferencial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</si>
  <si>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</si>
  <si>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</si>
  <si>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</si>
  <si>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</si>
  <si>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</si>
  <si>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</si>
  <si>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</si>
  <si>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</si>
  <si>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</si>
  <si>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</si>
  <si>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</si>
  <si>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</si>
  <si>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</si>
  <si>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</si>
  <si>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</si>
  <si>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</si>
  <si>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</si>
  <si>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</si>
  <si>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</si>
  <si>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</si>
  <si>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</si>
  <si>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</si>
  <si>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</si>
  <si>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</si>
  <si>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M18 X 1.5</t>
  </si>
  <si>
    <t>M16 X 1.5</t>
  </si>
  <si>
    <t>M14 X 1.5</t>
  </si>
  <si>
    <t>M22 X 1.5</t>
  </si>
  <si>
    <t>1/2 NPT X 14 Hilos</t>
  </si>
  <si>
    <t>1/4 GAS</t>
  </si>
  <si>
    <t>3/8 NPT X 18 Hilos</t>
  </si>
  <si>
    <t>M14 X 1.25</t>
  </si>
  <si>
    <t>M24 X 1.5</t>
  </si>
  <si>
    <t>M26 X 1.5</t>
  </si>
  <si>
    <t>1/4 BSPC X 19 Hilos</t>
  </si>
  <si>
    <t>1/2 X 14 Hilos Gas</t>
  </si>
  <si>
    <t>M12 X 1.25</t>
  </si>
  <si>
    <t>3/4 GAS</t>
  </si>
  <si>
    <t>Present.</t>
  </si>
  <si>
    <t>Caja x 5 unidades</t>
  </si>
  <si>
    <t>Caja x 2 unidades</t>
  </si>
  <si>
    <t>Caja x 4 unidades</t>
  </si>
  <si>
    <t>Juegos Puntas TORX</t>
  </si>
  <si>
    <t>Incluye 15 PIEZAS. Todo en CR-V</t>
  </si>
  <si>
    <t>7 Puntas Torx (10x30mm) T20-T25-T30-T40-T45-T50-T55</t>
  </si>
  <si>
    <t>7 Puntas Torx (10x75mm) T20-T25-T30-T40-T45-T50-T55</t>
  </si>
  <si>
    <t>1 adaptador de puntas 1/2"x10mm</t>
  </si>
  <si>
    <t>Juego Punas TORX - ALLEN - MULTIESTRIA</t>
  </si>
  <si>
    <t>Incluye 40 PIEZAS. Todo en CR-V</t>
  </si>
  <si>
    <t>7 Puntas Allen (10x30mm) 4-5-6-7-8-10-12</t>
  </si>
  <si>
    <t>7 Puntas Allen (10x75mm) 4-5-6-7-8-10-12</t>
  </si>
  <si>
    <t>5 Puntas Multiestría (10x30mm) M5-M6-M8-M10-M12</t>
  </si>
  <si>
    <t>5 Puntas Multiestría (10x75mm) M5-M6-M8-M10-M12</t>
  </si>
  <si>
    <t>2 Adaptadores de puntas 1/2"x10mm y 3/8"x10mm</t>
  </si>
  <si>
    <t>Ordenadores de Taller</t>
  </si>
  <si>
    <t>Juego de 6 Artículos</t>
  </si>
  <si>
    <t>630, 631</t>
  </si>
  <si>
    <t>Contenido: Arts. 600, 601, 602, 603,</t>
  </si>
  <si>
    <t>Juego de 5 Artículos</t>
  </si>
  <si>
    <t>Contenido: Arts. 610, 611, 612, 613, 614</t>
  </si>
  <si>
    <t>Contenido: Arts. 620, 621, 622, 623, 624</t>
  </si>
  <si>
    <t>Corta Hierros - Punzones</t>
  </si>
  <si>
    <t>600x5</t>
  </si>
  <si>
    <t>601x5</t>
  </si>
  <si>
    <t>602x5</t>
  </si>
  <si>
    <t>603x5</t>
  </si>
  <si>
    <t>610x5</t>
  </si>
  <si>
    <t>611x5</t>
  </si>
  <si>
    <t>612x5</t>
  </si>
  <si>
    <t>613x5</t>
  </si>
  <si>
    <t>614x5</t>
  </si>
  <si>
    <t>613L</t>
  </si>
  <si>
    <t>614L</t>
  </si>
  <si>
    <t>620x5</t>
  </si>
  <si>
    <t>621x5</t>
  </si>
  <si>
    <t>622x5</t>
  </si>
  <si>
    <t>623x5</t>
  </si>
  <si>
    <t>624x5</t>
  </si>
  <si>
    <t>Corta Hierros 1/4"</t>
  </si>
  <si>
    <t>Corta Hierros 3/8"</t>
  </si>
  <si>
    <t>Corta Hierros 1/2"</t>
  </si>
  <si>
    <t>Corta Hierros 5/8"</t>
  </si>
  <si>
    <t>Blister x 5 Unidades Corta Hierros 3/8"</t>
  </si>
  <si>
    <t>Blister x 5 Unidades Corta Hierros 1/2"</t>
  </si>
  <si>
    <t>Blister x 5 Unidades Corta Hierros 5/8"</t>
  </si>
  <si>
    <t>Blister x 5 Unidades Corta Hierros 1/4"</t>
  </si>
  <si>
    <t>Punzón Recto 2 mm</t>
  </si>
  <si>
    <t>Punzón Recto 3 mm</t>
  </si>
  <si>
    <t>Punzón Recto 4 mm</t>
  </si>
  <si>
    <t>Punzón Recto 5 mm</t>
  </si>
  <si>
    <t>Punzón Recto 6 mm</t>
  </si>
  <si>
    <t>Blister x 5 Unidades Punzón Recto 2 mm</t>
  </si>
  <si>
    <t>Blister x 5 Unidades Punzón Recto 3 mm</t>
  </si>
  <si>
    <t>Blister x 5 Unidades Punzón Recto 4 mm</t>
  </si>
  <si>
    <t>Blister x 5 Unidades Punzón Recto 5 mm</t>
  </si>
  <si>
    <t>Blister x 5 Unidades Punzón Recto 6 mm</t>
  </si>
  <si>
    <t>Punzón Recto 5 mm Largo</t>
  </si>
  <si>
    <t>Punzón Recto 6 mm Largo</t>
  </si>
  <si>
    <t>Punzón Cónico 2 mm</t>
  </si>
  <si>
    <t>Punzón Cónico 3 mm</t>
  </si>
  <si>
    <t>Punzón Cónico 4 mm</t>
  </si>
  <si>
    <t>Punzón Cónico 5 mm</t>
  </si>
  <si>
    <t>Punzón Cónico 6 mm</t>
  </si>
  <si>
    <t>Blister x 5 Unidades Punzón Cónico 2 mm</t>
  </si>
  <si>
    <t>Blister x 5 Unidades Punzón Cónico 3 mm</t>
  </si>
  <si>
    <t>Blister x 5 Unidades Punzón Cónico 4 mm</t>
  </si>
  <si>
    <t>Blister x 5 Unidades Punzón Cónico 5 mm</t>
  </si>
  <si>
    <t>Blister x 5 Unidades Punzón Cónico 6 mm</t>
  </si>
  <si>
    <t>Línea Hidráulica</t>
  </si>
  <si>
    <t>P15BL</t>
  </si>
  <si>
    <t>P15PL</t>
  </si>
  <si>
    <t>P30</t>
  </si>
  <si>
    <t>GP1.5</t>
  </si>
  <si>
    <t>GP2R</t>
  </si>
  <si>
    <t>Criques Botella Importado</t>
  </si>
  <si>
    <t>CH06</t>
  </si>
  <si>
    <t>CH10</t>
  </si>
  <si>
    <t>CH15</t>
  </si>
  <si>
    <t>6 Tn</t>
  </si>
  <si>
    <t>10 Tn</t>
  </si>
  <si>
    <t>15 Tn</t>
  </si>
  <si>
    <t>1,5 Tn</t>
  </si>
  <si>
    <t>2 Tn</t>
  </si>
  <si>
    <t>Criques Botella y Doble pistón - Línea Profesional</t>
  </si>
  <si>
    <t>Altura Mínima</t>
  </si>
  <si>
    <t>B04</t>
  </si>
  <si>
    <t>B10</t>
  </si>
  <si>
    <t>B15</t>
  </si>
  <si>
    <t>B20</t>
  </si>
  <si>
    <t>B25</t>
  </si>
  <si>
    <t>B30</t>
  </si>
  <si>
    <t>BDP02</t>
  </si>
  <si>
    <t>BDP07</t>
  </si>
  <si>
    <t>BDP15</t>
  </si>
  <si>
    <t>B10S</t>
  </si>
  <si>
    <t>B15S</t>
  </si>
  <si>
    <t>B20S</t>
  </si>
  <si>
    <t>B30S</t>
  </si>
  <si>
    <t>4 Tn - Reforzado</t>
  </si>
  <si>
    <t>10 Tn - Reforzado</t>
  </si>
  <si>
    <t>15 Tn - Reforzado</t>
  </si>
  <si>
    <t>20 Tn - Reforzado</t>
  </si>
  <si>
    <t>25 Tn - Reforzado</t>
  </si>
  <si>
    <t>30 Tn - Reforzado</t>
  </si>
  <si>
    <t>Doble Pistón 2 Tn</t>
  </si>
  <si>
    <t>Doble Pistón 7 Tn</t>
  </si>
  <si>
    <t>Doble Pistón 15 Tn</t>
  </si>
  <si>
    <t>10 Tn Standard</t>
  </si>
  <si>
    <t>15 Tn Standard</t>
  </si>
  <si>
    <t>20 Tn Standard</t>
  </si>
  <si>
    <t>30 Tn Standard</t>
  </si>
  <si>
    <t>Pinza Abretalón</t>
  </si>
  <si>
    <t>Carros Plegables</t>
  </si>
  <si>
    <t>CA01</t>
  </si>
  <si>
    <t>CA02</t>
  </si>
  <si>
    <t>75 Kg</t>
  </si>
  <si>
    <t>90 Kg</t>
  </si>
  <si>
    <t>Altura: 95 cm / Base: 37 x 27 cm</t>
  </si>
  <si>
    <t>Altura: 108 cm / Base: 36 x 24 cm</t>
  </si>
  <si>
    <t>Escaleras de Aluminio</t>
  </si>
  <si>
    <t>Tijera Simple Acceso Familiar</t>
  </si>
  <si>
    <t>ESE02</t>
  </si>
  <si>
    <t>ESE03</t>
  </si>
  <si>
    <t>ESE04</t>
  </si>
  <si>
    <t>ESE05</t>
  </si>
  <si>
    <t>ESE06</t>
  </si>
  <si>
    <t>ESE07</t>
  </si>
  <si>
    <t>Tijera Simple Acceso Comercial</t>
  </si>
  <si>
    <t>ETS02</t>
  </si>
  <si>
    <t>ETS03</t>
  </si>
  <si>
    <t>ETS04</t>
  </si>
  <si>
    <t>ETS05</t>
  </si>
  <si>
    <t>ETS06</t>
  </si>
  <si>
    <t>ETS07</t>
  </si>
  <si>
    <t>ETS08</t>
  </si>
  <si>
    <t>Tijera Doble Acceso Comercial - Pintor</t>
  </si>
  <si>
    <t>Capacidad de carga</t>
  </si>
  <si>
    <t>Cant. De Escalones</t>
  </si>
  <si>
    <t>Altura (mts)</t>
  </si>
  <si>
    <t>Altura Nominal (mts)</t>
  </si>
  <si>
    <t>ETD02</t>
  </si>
  <si>
    <t>ETD03</t>
  </si>
  <si>
    <t>ETD04</t>
  </si>
  <si>
    <t>ETD05</t>
  </si>
  <si>
    <t>ETD06</t>
  </si>
  <si>
    <t>ETD07</t>
  </si>
  <si>
    <t>ETD08</t>
  </si>
  <si>
    <t>Altura Extendida (mts)</t>
  </si>
  <si>
    <t>Extensible y Tijera 3 Tramos</t>
  </si>
  <si>
    <t>EE3X7</t>
  </si>
  <si>
    <t>EE3X9</t>
  </si>
  <si>
    <t>Articulada Multipropósito Standard</t>
  </si>
  <si>
    <t>EM4X3</t>
  </si>
  <si>
    <t>EM4X4</t>
  </si>
  <si>
    <t>8//8</t>
  </si>
  <si>
    <t>DESCUENTO PAGO CONTADO:</t>
  </si>
  <si>
    <t>RECARGO A CONSUMIDOR FINAL:</t>
  </si>
  <si>
    <t>BONIFICACIÓN:</t>
  </si>
  <si>
    <t>MODIFIQUE AQUÍ</t>
  </si>
  <si>
    <t>COEFICIENTE</t>
  </si>
  <si>
    <t>Cons. Final:</t>
  </si>
  <si>
    <r>
      <rPr>
        <b/>
        <sz val="16"/>
        <color theme="1"/>
        <rFont val="Calibri"/>
        <family val="2"/>
        <scheme val="minor"/>
      </rPr>
      <t>Cortadora de Cerámica</t>
    </r>
    <r>
      <rPr>
        <sz val="16"/>
        <color theme="1"/>
        <rFont val="Calibri"/>
        <family val="2"/>
        <scheme val="minor"/>
      </rPr>
      <t xml:space="preserve"> IVA 10,5%</t>
    </r>
  </si>
  <si>
    <r>
      <rPr>
        <b/>
        <sz val="16"/>
        <color theme="1"/>
        <rFont val="Calibri"/>
        <family val="2"/>
        <scheme val="minor"/>
      </rPr>
      <t>Máquinas de destapación profesional</t>
    </r>
    <r>
      <rPr>
        <sz val="16"/>
        <color theme="1"/>
        <rFont val="Calibri"/>
        <family val="2"/>
        <scheme val="minor"/>
      </rPr>
      <t xml:space="preserve"> IVA 10,5%</t>
    </r>
  </si>
  <si>
    <t>CH4X4</t>
  </si>
  <si>
    <t>4 - 14</t>
  </si>
  <si>
    <r>
      <t xml:space="preserve">Prensas Hidráulicas </t>
    </r>
    <r>
      <rPr>
        <sz val="16"/>
        <color theme="1"/>
        <rFont val="Calibri"/>
        <family val="2"/>
        <scheme val="minor"/>
      </rPr>
      <t>IVA 10,5%</t>
    </r>
  </si>
  <si>
    <r>
      <t>Guinches Pluma</t>
    </r>
    <r>
      <rPr>
        <sz val="16"/>
        <color theme="1"/>
        <rFont val="Calibri"/>
        <family val="2"/>
        <scheme val="minor"/>
      </rPr>
      <t xml:space="preserve"> IVA 10,5%</t>
    </r>
  </si>
  <si>
    <t>RE202/3/4</t>
  </si>
  <si>
    <t>63 a 80</t>
  </si>
  <si>
    <t>80 a 100</t>
  </si>
  <si>
    <t>90, 110 y 130</t>
  </si>
  <si>
    <t>200, 210 y 225</t>
  </si>
  <si>
    <t>120 x 300 mm</t>
  </si>
  <si>
    <t>120 x 500 mm</t>
  </si>
  <si>
    <t>Para Cartuchos "Salchicha"</t>
  </si>
  <si>
    <t>15"</t>
  </si>
  <si>
    <t xml:space="preserve"> </t>
  </si>
  <si>
    <t>Contenido: Arts. 600, 602, 614, 622, 630, 631</t>
  </si>
  <si>
    <t>15 Tn Pie (2 Columnas)</t>
  </si>
  <si>
    <t>15 Tn Banco (2 Columnas)</t>
  </si>
  <si>
    <t>30 Tn Pie (4 Columnas) promoción</t>
  </si>
  <si>
    <r>
      <t>Carros Plegables</t>
    </r>
    <r>
      <rPr>
        <sz val="16"/>
        <color theme="1"/>
        <rFont val="Calibri"/>
        <family val="2"/>
        <scheme val="minor"/>
      </rPr>
      <t xml:space="preserve"> IVA 10,5%</t>
    </r>
  </si>
  <si>
    <t>Exhibidor expendedor - Contiene 3 Unidades de C/U del 600 al 631</t>
  </si>
  <si>
    <t>Largo 190 mm</t>
  </si>
  <si>
    <t>Largo 230 mm</t>
  </si>
  <si>
    <t>Largo 260 mm</t>
  </si>
  <si>
    <t>Largo 270 mm</t>
  </si>
  <si>
    <t>Esc. Articulada 4x4 incluye Chapón Andamio</t>
  </si>
  <si>
    <t>GP1.0</t>
  </si>
  <si>
    <t>1,0 Tn</t>
  </si>
  <si>
    <t>Porta machos 1/16 a 3/8"</t>
  </si>
  <si>
    <t>Porta machos 5/32 a 1/2"</t>
  </si>
  <si>
    <t>Porta machos 7/32 - 3/4"</t>
  </si>
  <si>
    <t>Prensas Multiuso</t>
  </si>
  <si>
    <t>8/8</t>
  </si>
  <si>
    <t>2/8</t>
  </si>
  <si>
    <t>3/8</t>
  </si>
  <si>
    <t>4/8</t>
  </si>
  <si>
    <t>6/8</t>
  </si>
  <si>
    <t>5/8</t>
  </si>
  <si>
    <t>7/8</t>
  </si>
  <si>
    <t>WWW.LEADER-ART.COM.AR</t>
  </si>
  <si>
    <t>LEADER-ART@LEADER-ART.COM.AR</t>
  </si>
  <si>
    <t>Cable Resorte de Ø1/2″ 5 mts</t>
  </si>
  <si>
    <t>MM Grampas</t>
  </si>
  <si>
    <t>CH20</t>
  </si>
  <si>
    <t>20 Tn</t>
  </si>
  <si>
    <t>TEL: 011-4730-0553 / 2199-2064 / 4759-9288</t>
  </si>
  <si>
    <t>Paso de Rosca</t>
  </si>
  <si>
    <t>Cabeza de Tapón</t>
  </si>
  <si>
    <t>Hembra Cuadrado 10</t>
  </si>
  <si>
    <t>Hembra Cuadrado 8</t>
  </si>
  <si>
    <t>Macho Hexagonal 3/4</t>
  </si>
  <si>
    <t>Macho Hexagonal 17</t>
  </si>
  <si>
    <t>Macho Hexagonal 22</t>
  </si>
  <si>
    <t>Macho Hexagonal 13/16</t>
  </si>
  <si>
    <t>Macho Hexagonal 13</t>
  </si>
  <si>
    <t>Hembra Hexagonal 12</t>
  </si>
  <si>
    <t>Macho Hexagonal 15/16</t>
  </si>
  <si>
    <t>Lista N°97 - NOVIEMBRE 2024</t>
  </si>
  <si>
    <t>Dto contado: 10% // 30 Dias Neto</t>
  </si>
  <si>
    <t>VENTAS</t>
  </si>
  <si>
    <t xml:space="preserve">    WHATSAPP 11-6053-5887</t>
  </si>
  <si>
    <t>Cualquier duda, consultar a fábrica</t>
  </si>
  <si>
    <t>Bonificación: La que posee</t>
  </si>
  <si>
    <t>NUEVOS PRODUCTOS</t>
  </si>
  <si>
    <r>
      <t xml:space="preserve">Compresores Portátiles 12 Volts </t>
    </r>
    <r>
      <rPr>
        <sz val="16"/>
        <color theme="1"/>
        <rFont val="Calibri"/>
        <family val="2"/>
        <scheme val="minor"/>
      </rPr>
      <t>IVA 10,5%</t>
    </r>
  </si>
  <si>
    <t>COM01</t>
  </si>
  <si>
    <t xml:space="preserve">      Compresor Chico               Incluye picos p/ bicicletas, juguetes, pelotas, etc</t>
  </si>
  <si>
    <t>COM02</t>
  </si>
  <si>
    <t xml:space="preserve">      Compresor Grande           Incluye manguera espiralada y picos varios</t>
  </si>
  <si>
    <t>Banco de Trabajo Plegable Portatil</t>
  </si>
  <si>
    <t>BAN01</t>
  </si>
  <si>
    <t xml:space="preserve">      Banco de trabajo              Capacidad de carga 75kg Prensas Ajustables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</si>
</sst>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#\ ?/8"/>
    <numFmt numFmtId="165" formatCode="0.0"/>
    <numFmt numFmtId="166" formatCode="#\ ?/2"/>
  </numFmts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9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 applyNumberFormat="0" applyFill="0" applyBorder="0" applyAlignment="0" applyProtection="0"/>
  </cellStyleXfs>
  <cellXfs count="195">
    <xf numFmtId="0" fontId="0" fillId="0" borderId="0" xfId="0"/>
    <xf numFmtId="0" fontId="0" fillId="3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0" xfId="0" applyBorder="1"/>
    <xf numFmtId="12" fontId="3" fillId="0" borderId="0" xfId="0" applyNumberFormat="1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3" fillId="0" borderId="0" xfId="0" applyFont="1" applyBorder="1" applyAlignment="1">
      <alignment horizontal="center"/>
    </xf>
    <xf numFmtId="2" fontId="0" fillId="0" borderId="0" xfId="0" applyNumberFormat="1"/>
    <xf numFmtId="0" fontId="0" fillId="5" borderId="0" xfId="0" applyFill="1"/>
    <xf numFmtId="0" fontId="0" fillId="2" borderId="0" xfId="0" applyFill="1"/>
    <xf numFmtId="0" fontId="5" fillId="0" borderId="7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8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7" xfId="0" applyFont="1" applyFill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6" xfId="0" applyFont="1" applyFill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6" fillId="0" borderId="0" xfId="0" applyFont="1"/>
    <xf numFmtId="0" fontId="2" fillId="0" borderId="0" xfId="0" applyFont="1" applyFill="1" applyBorder="1" applyAlignment="1">
      <alignment horizontal="left"/>
    </xf>
    <xf numFmtId="0" fontId="2" fillId="0" borderId="0" xfId="0" applyFont="1"/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165" fontId="5" fillId="0" borderId="18" xfId="0" applyNumberFormat="1" applyFont="1" applyBorder="1" applyAlignment="1">
      <alignment horizontal="center"/>
    </xf>
    <xf numFmtId="0" fontId="10" fillId="0" borderId="0" xfId="0" applyFont="1"/>
    <xf numFmtId="0" fontId="5" fillId="0" borderId="18" xfId="0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43" fontId="6" fillId="0" borderId="0" xfId="1" applyFont="1"/>
    <xf numFmtId="43" fontId="0" fillId="0" borderId="0" xfId="1" applyFont="1"/>
    <xf numFmtId="9" fontId="0" fillId="5" borderId="0" xfId="2" applyFont="1" applyFill="1" applyAlignment="1">
      <alignment horizontal="right" indent="2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/>
    <xf numFmtId="43" fontId="0" fillId="2" borderId="0" xfId="1" applyNumberFormat="1" applyFont="1" applyFill="1" applyAlignment="1">
      <alignment horizontal="right" indent="2"/>
    </xf>
    <xf numFmtId="43" fontId="0" fillId="2" borderId="0" xfId="1" applyNumberFormat="1" applyFont="1" applyFill="1" applyAlignment="1">
      <alignment horizontal="center"/>
    </xf>
    <xf numFmtId="43" fontId="0" fillId="0" borderId="0" xfId="1" applyNumberFormat="1" applyFont="1"/>
    <xf numFmtId="43" fontId="0" fillId="0" borderId="0" xfId="1" applyNumberFormat="1" applyFont="1" applyAlignment="1">
      <alignment horizontal="right" indent="2"/>
    </xf>
    <xf numFmtId="43" fontId="0" fillId="0" borderId="0" xfId="1" applyNumberFormat="1" applyFont="1" applyBorder="1" applyAlignment="1"/>
    <xf numFmtId="43" fontId="0" fillId="3" borderId="3" xfId="1" applyNumberFormat="1" applyFont="1" applyFill="1" applyBorder="1" applyAlignment="1">
      <alignment horizontal="right" indent="2"/>
    </xf>
    <xf numFmtId="43" fontId="0" fillId="3" borderId="3" xfId="1" applyNumberFormat="1" applyFont="1" applyFill="1" applyBorder="1" applyAlignment="1">
      <alignment horizontal="center"/>
    </xf>
    <xf numFmtId="43" fontId="0" fillId="0" borderId="0" xfId="1" applyNumberFormat="1" applyFont="1" applyFill="1" applyBorder="1" applyAlignment="1">
      <alignment horizontal="right" indent="2"/>
    </xf>
    <xf numFmtId="43" fontId="0" fillId="0" borderId="0" xfId="1" applyNumberFormat="1" applyFont="1" applyFill="1" applyBorder="1" applyAlignment="1">
      <alignment horizontal="center"/>
    </xf>
    <xf numFmtId="43" fontId="5" fillId="0" borderId="0" xfId="1" applyNumberFormat="1" applyFont="1" applyAlignment="1">
      <alignment horizontal="right" indent="2"/>
    </xf>
    <xf numFmtId="43" fontId="5" fillId="0" borderId="0" xfId="1" applyNumberFormat="1" applyFont="1"/>
    <xf numFmtId="43" fontId="5" fillId="0" borderId="15" xfId="1" applyNumberFormat="1" applyFont="1" applyBorder="1" applyAlignment="1">
      <alignment horizontal="right" indent="2"/>
    </xf>
    <xf numFmtId="43" fontId="8" fillId="0" borderId="6" xfId="1" applyNumberFormat="1" applyFont="1" applyBorder="1"/>
    <xf numFmtId="43" fontId="8" fillId="0" borderId="1" xfId="1" applyNumberFormat="1" applyFont="1" applyBorder="1"/>
    <xf numFmtId="43" fontId="5" fillId="0" borderId="18" xfId="1" applyNumberFormat="1" applyFont="1" applyBorder="1" applyAlignment="1">
      <alignment horizontal="right" indent="2"/>
    </xf>
    <xf numFmtId="43" fontId="5" fillId="0" borderId="16" xfId="1" applyNumberFormat="1" applyFont="1" applyBorder="1" applyAlignment="1">
      <alignment horizontal="right" indent="2"/>
    </xf>
    <xf numFmtId="43" fontId="5" fillId="0" borderId="17" xfId="1" applyNumberFormat="1" applyFont="1" applyBorder="1" applyAlignment="1">
      <alignment horizontal="right" indent="2"/>
    </xf>
    <xf numFmtId="43" fontId="6" fillId="0" borderId="0" xfId="1" applyNumberFormat="1" applyFont="1" applyAlignment="1">
      <alignment horizontal="right" indent="2"/>
    </xf>
    <xf numFmtId="43" fontId="6" fillId="0" borderId="0" xfId="1" applyNumberFormat="1" applyFont="1"/>
    <xf numFmtId="43" fontId="8" fillId="0" borderId="19" xfId="1" applyNumberFormat="1" applyFont="1" applyBorder="1" applyAlignment="1">
      <alignment vertical="center"/>
    </xf>
    <xf numFmtId="43" fontId="5" fillId="0" borderId="16" xfId="1" applyNumberFormat="1" applyFont="1" applyFill="1" applyBorder="1" applyAlignment="1">
      <alignment horizontal="right" indent="2"/>
    </xf>
    <xf numFmtId="43" fontId="5" fillId="0" borderId="17" xfId="1" applyNumberFormat="1" applyFont="1" applyFill="1" applyBorder="1" applyAlignment="1">
      <alignment horizontal="right" indent="2"/>
    </xf>
    <xf numFmtId="43" fontId="8" fillId="0" borderId="1" xfId="1" applyNumberFormat="1" applyFont="1" applyBorder="1" applyAlignment="1">
      <alignment vertical="center"/>
    </xf>
    <xf numFmtId="43" fontId="5" fillId="0" borderId="7" xfId="1" applyNumberFormat="1" applyFont="1" applyBorder="1" applyAlignment="1">
      <alignment horizontal="right" indent="2"/>
    </xf>
    <xf numFmtId="43" fontId="0" fillId="0" borderId="20" xfId="1" applyNumberFormat="1" applyFont="1" applyBorder="1" applyAlignment="1">
      <alignment horizontal="right" indent="2"/>
    </xf>
    <xf numFmtId="43" fontId="0" fillId="0" borderId="20" xfId="1" applyNumberFormat="1" applyFont="1" applyBorder="1"/>
    <xf numFmtId="43" fontId="3" fillId="0" borderId="0" xfId="1" applyNumberFormat="1" applyFont="1" applyAlignment="1">
      <alignment horizontal="center"/>
    </xf>
    <xf numFmtId="43" fontId="5" fillId="0" borderId="0" xfId="1" applyNumberFormat="1" applyFont="1" applyBorder="1" applyAlignment="1">
      <alignment horizontal="right" indent="2"/>
    </xf>
    <xf numFmtId="43" fontId="8" fillId="0" borderId="0" xfId="1" applyNumberFormat="1" applyFont="1" applyBorder="1"/>
    <xf numFmtId="43" fontId="2" fillId="0" borderId="0" xfId="1" applyNumberFormat="1" applyFont="1" applyFill="1" applyBorder="1" applyAlignment="1">
      <alignment horizontal="right" indent="2"/>
    </xf>
    <xf numFmtId="43" fontId="2" fillId="0" borderId="0" xfId="1" applyNumberFormat="1" applyFont="1" applyFill="1" applyBorder="1" applyAlignment="1">
      <alignment horizontal="center"/>
    </xf>
    <xf numFmtId="43" fontId="9" fillId="0" borderId="0" xfId="1" applyNumberFormat="1" applyFont="1"/>
    <xf numFmtId="43" fontId="3" fillId="0" borderId="0" xfId="1" applyNumberFormat="1" applyFont="1" applyBorder="1" applyAlignment="1">
      <alignment horizontal="right" indent="2"/>
    </xf>
    <xf numFmtId="43" fontId="3" fillId="0" borderId="0" xfId="1" applyNumberFormat="1" applyFont="1" applyBorder="1" applyAlignment="1">
      <alignment horizontal="center"/>
    </xf>
    <xf numFmtId="43" fontId="5" fillId="0" borderId="18" xfId="1" applyNumberFormat="1" applyFont="1" applyFill="1" applyBorder="1" applyAlignment="1">
      <alignment horizontal="right" indent="2"/>
    </xf>
    <xf numFmtId="43" fontId="4" fillId="0" borderId="0" xfId="1" applyNumberFormat="1" applyFont="1"/>
    <xf numFmtId="43" fontId="5" fillId="0" borderId="0" xfId="1" applyNumberFormat="1" applyFont="1" applyBorder="1" applyAlignment="1">
      <alignment horizontal="right" vertical="center" indent="2"/>
    </xf>
    <xf numFmtId="43" fontId="8" fillId="0" borderId="0" xfId="1" applyNumberFormat="1" applyFont="1" applyBorder="1" applyAlignment="1">
      <alignment horizontal="right" vertical="center"/>
    </xf>
    <xf numFmtId="43" fontId="5" fillId="0" borderId="18" xfId="1" applyNumberFormat="1" applyFont="1" applyBorder="1" applyAlignment="1">
      <alignment horizontal="right" vertical="center" indent="2"/>
    </xf>
    <xf numFmtId="43" fontId="8" fillId="0" borderId="30" xfId="1" applyNumberFormat="1" applyFont="1" applyBorder="1"/>
    <xf numFmtId="43" fontId="8" fillId="0" borderId="29" xfId="1" applyNumberFormat="1" applyFont="1" applyBorder="1"/>
    <xf numFmtId="10" fontId="8" fillId="0" borderId="6" xfId="2" applyNumberFormat="1" applyFont="1" applyBorder="1"/>
    <xf numFmtId="10" fontId="8" fillId="0" borderId="1" xfId="2" applyNumberFormat="1" applyFont="1" applyBorder="1"/>
    <xf numFmtId="10" fontId="8" fillId="0" borderId="2" xfId="2" applyNumberFormat="1" applyFont="1" applyBorder="1"/>
    <xf numFmtId="10" fontId="8" fillId="0" borderId="19" xfId="2" applyNumberFormat="1" applyFont="1" applyBorder="1"/>
    <xf numFmtId="12" fontId="3" fillId="0" borderId="0" xfId="2" applyNumberFormat="1" applyFont="1" applyAlignment="1">
      <alignment horizontal="center"/>
    </xf>
    <xf numFmtId="49" fontId="3" fillId="0" borderId="0" xfId="1" applyNumberFormat="1" applyFont="1" applyAlignment="1">
      <alignment horizontal="center"/>
    </xf>
    <xf numFmtId="43" fontId="4" fillId="0" borderId="0" xfId="1" applyNumberFormat="1" applyFont="1" applyBorder="1" applyAlignment="1"/>
    <xf numFmtId="43" fontId="4" fillId="3" borderId="3" xfId="1" applyNumberFormat="1" applyFont="1" applyFill="1" applyBorder="1" applyAlignment="1">
      <alignment horizontal="center"/>
    </xf>
    <xf numFmtId="43" fontId="4" fillId="0" borderId="0" xfId="1" applyNumberFormat="1" applyFont="1" applyFill="1" applyBorder="1" applyAlignment="1">
      <alignment horizontal="center"/>
    </xf>
    <xf numFmtId="43" fontId="4" fillId="0" borderId="20" xfId="1" applyNumberFormat="1" applyFont="1" applyBorder="1"/>
    <xf numFmtId="43" fontId="13" fillId="0" borderId="0" xfId="1" applyNumberFormat="1" applyFont="1" applyFill="1" applyBorder="1" applyAlignment="1">
      <alignment horizontal="center"/>
    </xf>
    <xf numFmtId="43" fontId="14" fillId="0" borderId="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2" fillId="0" borderId="0" xfId="1" applyNumberFormat="1" applyFont="1" applyBorder="1" applyAlignment="1">
      <alignment vertical="center"/>
    </xf>
    <xf numFmtId="1" fontId="12" fillId="0" borderId="0" xfId="1" applyNumberFormat="1" applyFont="1" applyBorder="1" applyAlignment="1">
      <alignment vertical="center"/>
    </xf>
    <xf numFmtId="0" fontId="12" fillId="0" borderId="0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0" xfId="0" applyFill="1"/>
    <xf numFmtId="0" fontId="7" fillId="0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2" fontId="5" fillId="0" borderId="0" xfId="0" applyNumberFormat="1" applyFont="1" applyBorder="1" applyAlignment="1">
      <alignment horizontal="center"/>
    </xf>
    <xf numFmtId="0" fontId="5" fillId="0" borderId="12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14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1" fontId="15" fillId="0" borderId="0" xfId="1" applyNumberFormat="1" applyFont="1" applyBorder="1" applyAlignment="1">
      <alignment horizontal="center" vertical="center"/>
    </xf>
    <xf numFmtId="0" fontId="16" fillId="0" borderId="10" xfId="3" applyFont="1" applyBorder="1" applyAlignment="1">
      <alignment horizontal="center" vertical="top"/>
    </xf>
    <xf numFmtId="0" fontId="16" fillId="0" borderId="11" xfId="3" applyFont="1" applyBorder="1" applyAlignment="1">
      <alignment horizontal="center" vertical="top"/>
    </xf>
    <xf numFmtId="0" fontId="16" fillId="0" borderId="12" xfId="3" applyFont="1" applyBorder="1" applyAlignment="1">
      <alignment horizontal="center" vertical="top"/>
    </xf>
    <xf numFmtId="0" fontId="16" fillId="0" borderId="13" xfId="3" applyFont="1" applyBorder="1" applyAlignment="1">
      <alignment horizontal="center" vertical="top"/>
    </xf>
    <xf numFmtId="43" fontId="15" fillId="0" borderId="0" xfId="3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9" fillId="4" borderId="4" xfId="0" applyFont="1" applyFill="1" applyBorder="1" applyAlignment="1">
      <alignment horizontal="center"/>
    </xf>
    <xf numFmtId="0" fontId="19" fillId="4" borderId="5" xfId="0" applyFont="1" applyFill="1" applyBorder="1" applyAlignment="1">
      <alignment horizontal="center"/>
    </xf>
    <xf numFmtId="0" fontId="19" fillId="4" borderId="6" xfId="0" applyFont="1" applyFill="1" applyBorder="1" applyAlignment="1">
      <alignment horizontal="center"/>
    </xf>
    <xf numFmtId="0" fontId="5" fillId="0" borderId="8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43" fontId="8" fillId="0" borderId="25" xfId="1" applyNumberFormat="1" applyFont="1" applyBorder="1" applyAlignment="1">
      <alignment horizontal="right" vertical="center"/>
    </xf>
    <xf numFmtId="43" fontId="8" fillId="0" borderId="26" xfId="1" applyNumberFormat="1" applyFont="1" applyBorder="1" applyAlignment="1">
      <alignment horizontal="right" vertical="center"/>
    </xf>
    <xf numFmtId="43" fontId="8" fillId="0" borderId="27" xfId="1" applyNumberFormat="1" applyFont="1" applyBorder="1" applyAlignment="1">
      <alignment horizontal="right" vertical="center"/>
    </xf>
    <xf numFmtId="43" fontId="8" fillId="0" borderId="19" xfId="1" applyNumberFormat="1" applyFont="1" applyBorder="1" applyAlignment="1">
      <alignment horizontal="right" vertical="center"/>
    </xf>
    <xf numFmtId="43" fontId="8" fillId="0" borderId="29" xfId="1" applyNumberFormat="1" applyFont="1" applyBorder="1" applyAlignment="1">
      <alignment horizontal="right" vertical="center"/>
    </xf>
    <xf numFmtId="0" fontId="5" fillId="0" borderId="24" xfId="0" applyFont="1" applyBorder="1" applyAlignment="1">
      <alignment horizontal="center"/>
    </xf>
    <xf numFmtId="43" fontId="5" fillId="0" borderId="18" xfId="1" applyNumberFormat="1" applyFont="1" applyBorder="1" applyAlignment="1">
      <alignment horizontal="right" vertical="center" indent="2"/>
    </xf>
    <xf numFmtId="43" fontId="5" fillId="0" borderId="16" xfId="1" applyNumberFormat="1" applyFont="1" applyBorder="1" applyAlignment="1">
      <alignment horizontal="right" vertical="center" indent="2"/>
    </xf>
    <xf numFmtId="43" fontId="5" fillId="0" borderId="17" xfId="1" applyNumberFormat="1" applyFont="1" applyBorder="1" applyAlignment="1">
      <alignment horizontal="right" vertical="center" indent="2"/>
    </xf>
    <xf numFmtId="0" fontId="5" fillId="0" borderId="22" xfId="0" applyFont="1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2" fontId="5" fillId="0" borderId="12" xfId="0" applyNumberFormat="1" applyFont="1" applyBorder="1" applyAlignment="1">
      <alignment horizontal="center"/>
    </xf>
    <xf numFmtId="2" fontId="5" fillId="0" borderId="13" xfId="0" applyNumberFormat="1" applyFont="1" applyBorder="1" applyAlignment="1">
      <alignment horizontal="center"/>
    </xf>
    <xf numFmtId="2" fontId="5" fillId="0" borderId="8" xfId="0" applyNumberFormat="1" applyFont="1" applyBorder="1" applyAlignment="1">
      <alignment horizontal="center"/>
    </xf>
    <xf numFmtId="2" fontId="5" fillId="0" borderId="9" xfId="0" applyNumberFormat="1" applyFont="1" applyBorder="1" applyAlignment="1">
      <alignment horizontal="center"/>
    </xf>
    <xf numFmtId="2" fontId="5" fillId="0" borderId="10" xfId="0" applyNumberFormat="1" applyFont="1" applyBorder="1" applyAlignment="1">
      <alignment horizontal="center"/>
    </xf>
    <xf numFmtId="2" fontId="5" fillId="0" borderId="11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8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0" fontId="5" fillId="0" borderId="12" xfId="0" applyFont="1" applyFill="1" applyBorder="1" applyAlignment="1">
      <alignment horizontal="center"/>
    </xf>
    <xf numFmtId="0" fontId="5" fillId="0" borderId="13" xfId="0" applyFont="1" applyFill="1" applyBorder="1" applyAlignment="1">
      <alignment horizontal="center"/>
    </xf>
    <xf numFmtId="0" fontId="5" fillId="0" borderId="14" xfId="0" applyFont="1" applyFill="1" applyBorder="1" applyAlignment="1">
      <alignment horizontal="center"/>
    </xf>
    <xf numFmtId="0" fontId="5" fillId="0" borderId="15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43" fontId="8" fillId="0" borderId="28" xfId="1" applyNumberFormat="1" applyFont="1" applyBorder="1" applyAlignment="1">
      <alignment horizontal="right" vertical="center"/>
    </xf>
    <xf numFmtId="43" fontId="8" fillId="0" borderId="19" xfId="1" applyFont="1" applyBorder="1" applyAlignment="1">
      <alignment horizontal="right" vertical="center"/>
    </xf>
    <xf numFmtId="43" fontId="8" fillId="0" borderId="28" xfId="1" applyFont="1" applyBorder="1" applyAlignment="1">
      <alignment horizontal="right" vertical="center"/>
    </xf>
    <xf numFmtId="43" fontId="8" fillId="0" borderId="29" xfId="1" applyFont="1" applyBorder="1" applyAlignment="1">
      <alignment horizontal="right" vertical="center"/>
    </xf>
    <xf numFmtId="0" fontId="5" fillId="0" borderId="22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5</xdr:row>
      <xdr:rowOff>114300</xdr:rowOff>
    </xdr:from>
    <xdr:to>
      <xdr:col>3</xdr:col>
      <xdr:colOff>1258981</xdr:colOff>
      <xdr:row>9</xdr:row>
      <xdr:rowOff>220196</xdr:rowOff>
    </xdr:to>
    <xdr:pic>
      <xdr:nvPicPr>
        <xdr:cNvPr id="2" name="Picture 1" descr="CompletoLivian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066800"/>
          <a:ext cx="38481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50988</xdr:colOff>
      <xdr:row>5</xdr:row>
      <xdr:rowOff>152960</xdr:rowOff>
    </xdr:from>
    <xdr:to>
      <xdr:col>4</xdr:col>
      <xdr:colOff>265725</xdr:colOff>
      <xdr:row>7</xdr:row>
      <xdr:rowOff>58270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4194" y="1116666"/>
          <a:ext cx="214737" cy="219075"/>
        </a:xfrm>
        <a:prstGeom prst="rect">
          <a:avLst/>
        </a:prstGeom>
      </xdr:spPr>
    </xdr:pic>
    <xdr:clientData/>
  </xdr:twoCellAnchor>
  <xdr:oneCellAnchor>
    <xdr:from>
      <xdr:col>1</xdr:col>
      <xdr:colOff>323850</xdr:colOff>
      <xdr:row>93</xdr:row>
      <xdr:rowOff>114300</xdr:rowOff>
    </xdr:from>
    <xdr:ext cx="3848100" cy="733425"/>
    <xdr:pic>
      <xdr:nvPicPr>
        <xdr:cNvPr id="54" name="Picture 1" descr="CompletoLivian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066800"/>
          <a:ext cx="38481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323850</xdr:colOff>
      <xdr:row>180</xdr:row>
      <xdr:rowOff>114300</xdr:rowOff>
    </xdr:from>
    <xdr:ext cx="3848100" cy="733425"/>
    <xdr:pic>
      <xdr:nvPicPr>
        <xdr:cNvPr id="56" name="Picture 1" descr="CompletoLivian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8869025"/>
          <a:ext cx="38481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323850</xdr:colOff>
      <xdr:row>270</xdr:row>
      <xdr:rowOff>114300</xdr:rowOff>
    </xdr:from>
    <xdr:ext cx="3848100" cy="733425"/>
    <xdr:pic>
      <xdr:nvPicPr>
        <xdr:cNvPr id="58" name="Picture 1" descr="CompletoLivian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7309425"/>
          <a:ext cx="38481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323850</xdr:colOff>
      <xdr:row>359</xdr:row>
      <xdr:rowOff>114300</xdr:rowOff>
    </xdr:from>
    <xdr:ext cx="3848100" cy="733425"/>
    <xdr:pic>
      <xdr:nvPicPr>
        <xdr:cNvPr id="60" name="Picture 1" descr="CompletoLivian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53311425"/>
          <a:ext cx="38481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50988</xdr:colOff>
      <xdr:row>93</xdr:row>
      <xdr:rowOff>152960</xdr:rowOff>
    </xdr:from>
    <xdr:ext cx="214737" cy="219075"/>
    <xdr:pic>
      <xdr:nvPicPr>
        <xdr:cNvPr id="19" name="Imagen 18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4194" y="1116666"/>
          <a:ext cx="214737" cy="219075"/>
        </a:xfrm>
        <a:prstGeom prst="rect">
          <a:avLst/>
        </a:prstGeom>
      </xdr:spPr>
    </xdr:pic>
    <xdr:clientData/>
  </xdr:oneCellAnchor>
  <xdr:oneCellAnchor>
    <xdr:from>
      <xdr:col>4</xdr:col>
      <xdr:colOff>50988</xdr:colOff>
      <xdr:row>180</xdr:row>
      <xdr:rowOff>152960</xdr:rowOff>
    </xdr:from>
    <xdr:ext cx="214737" cy="219075"/>
    <xdr:pic>
      <xdr:nvPicPr>
        <xdr:cNvPr id="21" name="Imagen 2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4194" y="1116666"/>
          <a:ext cx="214737" cy="219075"/>
        </a:xfrm>
        <a:prstGeom prst="rect">
          <a:avLst/>
        </a:prstGeom>
      </xdr:spPr>
    </xdr:pic>
    <xdr:clientData/>
  </xdr:oneCellAnchor>
  <xdr:oneCellAnchor>
    <xdr:from>
      <xdr:col>4</xdr:col>
      <xdr:colOff>50988</xdr:colOff>
      <xdr:row>270</xdr:row>
      <xdr:rowOff>152960</xdr:rowOff>
    </xdr:from>
    <xdr:ext cx="214737" cy="219075"/>
    <xdr:pic>
      <xdr:nvPicPr>
        <xdr:cNvPr id="23" name="Imagen 2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4194" y="1116666"/>
          <a:ext cx="214737" cy="219075"/>
        </a:xfrm>
        <a:prstGeom prst="rect">
          <a:avLst/>
        </a:prstGeom>
      </xdr:spPr>
    </xdr:pic>
    <xdr:clientData/>
  </xdr:oneCellAnchor>
  <xdr:oneCellAnchor>
    <xdr:from>
      <xdr:col>4</xdr:col>
      <xdr:colOff>50988</xdr:colOff>
      <xdr:row>359</xdr:row>
      <xdr:rowOff>152960</xdr:rowOff>
    </xdr:from>
    <xdr:ext cx="214737" cy="219075"/>
    <xdr:pic>
      <xdr:nvPicPr>
        <xdr:cNvPr id="25" name="Imagen 2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4194" y="1116666"/>
          <a:ext cx="214737" cy="219075"/>
        </a:xfrm>
        <a:prstGeom prst="rect">
          <a:avLst/>
        </a:prstGeom>
      </xdr:spPr>
    </xdr:pic>
    <xdr:clientData/>
  </xdr:oneCellAnchor>
  <xdr:oneCellAnchor>
    <xdr:from>
      <xdr:col>1</xdr:col>
      <xdr:colOff>323850</xdr:colOff>
      <xdr:row>451</xdr:row>
      <xdr:rowOff>114300</xdr:rowOff>
    </xdr:from>
    <xdr:ext cx="3848661" cy="733425"/>
    <xdr:pic>
      <xdr:nvPicPr>
        <xdr:cNvPr id="28" name="Picture 1" descr="CompletoLivian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26" y="1078006"/>
          <a:ext cx="3848661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50988</xdr:colOff>
      <xdr:row>451</xdr:row>
      <xdr:rowOff>152960</xdr:rowOff>
    </xdr:from>
    <xdr:ext cx="214737" cy="219075"/>
    <xdr:pic>
      <xdr:nvPicPr>
        <xdr:cNvPr id="29" name="Imagen 28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4194" y="1116666"/>
          <a:ext cx="214737" cy="219075"/>
        </a:xfrm>
        <a:prstGeom prst="rect">
          <a:avLst/>
        </a:prstGeom>
      </xdr:spPr>
    </xdr:pic>
    <xdr:clientData/>
  </xdr:oneCellAnchor>
  <xdr:oneCellAnchor>
    <xdr:from>
      <xdr:col>1</xdr:col>
      <xdr:colOff>323850</xdr:colOff>
      <xdr:row>543</xdr:row>
      <xdr:rowOff>114300</xdr:rowOff>
    </xdr:from>
    <xdr:ext cx="3848661" cy="733425"/>
    <xdr:pic>
      <xdr:nvPicPr>
        <xdr:cNvPr id="30" name="Picture 1" descr="CompletoLivian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26" y="1078006"/>
          <a:ext cx="3848661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50988</xdr:colOff>
      <xdr:row>543</xdr:row>
      <xdr:rowOff>152960</xdr:rowOff>
    </xdr:from>
    <xdr:ext cx="214737" cy="219075"/>
    <xdr:pic>
      <xdr:nvPicPr>
        <xdr:cNvPr id="31" name="Imagen 3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4194" y="1116666"/>
          <a:ext cx="214737" cy="219075"/>
        </a:xfrm>
        <a:prstGeom prst="rect">
          <a:avLst/>
        </a:prstGeom>
      </xdr:spPr>
    </xdr:pic>
    <xdr:clientData/>
  </xdr:oneCellAnchor>
  <xdr:oneCellAnchor>
    <xdr:from>
      <xdr:col>1</xdr:col>
      <xdr:colOff>323850</xdr:colOff>
      <xdr:row>633</xdr:row>
      <xdr:rowOff>114300</xdr:rowOff>
    </xdr:from>
    <xdr:ext cx="3848661" cy="733425"/>
    <xdr:pic>
      <xdr:nvPicPr>
        <xdr:cNvPr id="34" name="Picture 1" descr="CompletoLivian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26" y="1078006"/>
          <a:ext cx="3848661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50988</xdr:colOff>
      <xdr:row>633</xdr:row>
      <xdr:rowOff>152960</xdr:rowOff>
    </xdr:from>
    <xdr:ext cx="214737" cy="219075"/>
    <xdr:pic>
      <xdr:nvPicPr>
        <xdr:cNvPr id="35" name="Imagen 3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4194" y="1116666"/>
          <a:ext cx="214737" cy="2190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leader-art.com.ar/" TargetMode="External"/><Relationship Id="rId3" Type="http://schemas.openxmlformats.org/officeDocument/2006/relationships/hyperlink" Target="http://www.leader-art.com.ar/" TargetMode="External"/><Relationship Id="rId7" Type="http://schemas.openxmlformats.org/officeDocument/2006/relationships/hyperlink" Target="http://www.leader-art.com.ar/" TargetMode="External"/><Relationship Id="rId2" Type="http://schemas.openxmlformats.org/officeDocument/2006/relationships/hyperlink" Target="http://www.leader-art.com.ar/" TargetMode="External"/><Relationship Id="rId1" Type="http://schemas.openxmlformats.org/officeDocument/2006/relationships/hyperlink" Target="http://www.leader-art.com.ar/" TargetMode="External"/><Relationship Id="rId6" Type="http://schemas.openxmlformats.org/officeDocument/2006/relationships/hyperlink" Target="http://www.leader-art.com.ar/" TargetMode="External"/><Relationship Id="rId5" Type="http://schemas.openxmlformats.org/officeDocument/2006/relationships/hyperlink" Target="http://www.leader-art.com.ar/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://www.leader-art.com.ar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722"/>
  <sheetViews>
    <sheetView tabSelected="1" view="pageBreakPreview" topLeftCell="A627" zoomScale="85" zoomScaleNormal="100" zoomScaleSheetLayoutView="85" workbookViewId="0">
      <selection activeCell="I682" sqref="I682"/>
    </sheetView>
  </sheetViews>
  <sheetFormatPr baseColWidth="10" defaultRowHeight="15" x14ac:dyDescent="0.25"/>
  <cols>
    <col min="1" max="1" width="2.140625" customWidth="1"/>
    <col min="2" max="2" width="15.28515625" customWidth="1"/>
    <col min="3" max="3" width="28.42578125" customWidth="1"/>
    <col min="4" max="4" width="25.140625" customWidth="1"/>
    <col min="5" max="5" width="26" customWidth="1"/>
    <col min="6" max="6" width="19" style="45" customWidth="1"/>
    <col min="7" max="7" width="25.85546875" style="44" customWidth="1"/>
    <col min="8" max="8" width="18.140625" style="77" customWidth="1"/>
    <col min="9" max="9" width="19.28515625" style="44" customWidth="1"/>
    <col min="10" max="10" width="1.85546875" customWidth="1"/>
  </cols>
  <sheetData>
    <row r="1" spans="2:9" x14ac:dyDescent="0.25">
      <c r="C1" s="10" t="s">
        <v>520</v>
      </c>
      <c r="D1" s="10"/>
      <c r="E1" s="10"/>
      <c r="F1" s="42" t="s">
        <v>459</v>
      </c>
      <c r="G1" s="43" t="s">
        <v>460</v>
      </c>
    </row>
    <row r="2" spans="2:9" x14ac:dyDescent="0.25">
      <c r="C2" s="11" t="s">
        <v>458</v>
      </c>
      <c r="D2" s="11"/>
      <c r="E2" s="11"/>
      <c r="F2" s="36">
        <v>0</v>
      </c>
      <c r="G2" s="43">
        <f>(1-F2)</f>
        <v>1</v>
      </c>
    </row>
    <row r="3" spans="2:9" x14ac:dyDescent="0.25">
      <c r="C3" s="11" t="s">
        <v>456</v>
      </c>
      <c r="D3" s="11"/>
      <c r="E3" s="11"/>
      <c r="F3" s="36">
        <v>0</v>
      </c>
      <c r="G3" s="43">
        <f>(1-F3)</f>
        <v>1</v>
      </c>
    </row>
    <row r="4" spans="2:9" x14ac:dyDescent="0.25">
      <c r="C4" s="11" t="s">
        <v>457</v>
      </c>
      <c r="D4" s="11"/>
      <c r="E4" s="11"/>
      <c r="F4" s="36">
        <v>0.05</v>
      </c>
      <c r="G4" s="43">
        <f>(1+F4)</f>
        <v>1.05</v>
      </c>
    </row>
    <row r="5" spans="2:9" ht="15.75" thickBot="1" x14ac:dyDescent="0.3">
      <c r="B5" s="128"/>
      <c r="C5" s="128"/>
      <c r="D5" s="95"/>
      <c r="F5" s="45" t="s">
        <v>477</v>
      </c>
    </row>
    <row r="6" spans="2:9" ht="15" customHeight="1" x14ac:dyDescent="0.25">
      <c r="B6" s="128"/>
      <c r="C6" s="128"/>
      <c r="D6" s="95"/>
      <c r="E6" s="129" t="s">
        <v>523</v>
      </c>
      <c r="F6" s="130"/>
      <c r="G6" s="133" t="s">
        <v>508</v>
      </c>
      <c r="H6" s="133"/>
      <c r="I6" s="133"/>
    </row>
    <row r="7" spans="2:9" ht="9.75" customHeight="1" x14ac:dyDescent="0.25">
      <c r="B7" s="128"/>
      <c r="C7" s="128"/>
      <c r="D7" s="95"/>
      <c r="E7" s="131"/>
      <c r="F7" s="132"/>
      <c r="G7" s="108"/>
      <c r="H7" s="108"/>
      <c r="I7" s="108"/>
    </row>
    <row r="8" spans="2:9" ht="15" customHeight="1" x14ac:dyDescent="0.25">
      <c r="B8" s="128"/>
      <c r="C8" s="128"/>
      <c r="D8" s="95"/>
      <c r="E8" s="131"/>
      <c r="F8" s="132"/>
      <c r="G8" s="133" t="s">
        <v>503</v>
      </c>
      <c r="H8" s="133"/>
      <c r="I8" s="133"/>
    </row>
    <row r="9" spans="2:9" ht="9.75" customHeight="1" x14ac:dyDescent="0.25">
      <c r="B9" s="128"/>
      <c r="C9" s="128"/>
      <c r="D9" s="95"/>
      <c r="E9" s="134" t="s">
        <v>522</v>
      </c>
      <c r="F9" s="135"/>
      <c r="G9" s="107"/>
      <c r="H9" s="107"/>
      <c r="I9" s="107"/>
    </row>
    <row r="10" spans="2:9" ht="19.5" customHeight="1" thickBot="1" x14ac:dyDescent="0.3">
      <c r="B10" s="128"/>
      <c r="C10" s="128"/>
      <c r="D10" s="105"/>
      <c r="E10" s="136"/>
      <c r="F10" s="137"/>
      <c r="G10" s="138" t="s">
        <v>502</v>
      </c>
      <c r="H10" s="138"/>
      <c r="I10" s="138"/>
    </row>
    <row r="11" spans="2:9" x14ac:dyDescent="0.25">
      <c r="B11" s="128"/>
      <c r="C11" s="128"/>
      <c r="D11" s="95"/>
      <c r="E11" s="41"/>
      <c r="F11" s="46"/>
      <c r="G11" s="46"/>
      <c r="H11" s="89"/>
      <c r="I11" s="46"/>
    </row>
    <row r="12" spans="2:9" ht="18.75" customHeight="1" x14ac:dyDescent="0.25">
      <c r="B12" s="124" t="s">
        <v>525</v>
      </c>
      <c r="C12" s="124"/>
      <c r="D12" s="125" t="s">
        <v>521</v>
      </c>
      <c r="E12" s="125"/>
      <c r="F12" s="125"/>
      <c r="G12" s="126" t="str">
        <f>(C1)</f>
        <v>Lista N°97 - NOVIEMBRE 2024</v>
      </c>
      <c r="H12" s="126"/>
      <c r="I12" s="126"/>
    </row>
    <row r="13" spans="2:9" ht="21" customHeight="1" x14ac:dyDescent="0.3">
      <c r="B13" s="127" t="s">
        <v>524</v>
      </c>
      <c r="C13" s="127"/>
      <c r="D13" s="125"/>
      <c r="E13" s="125"/>
      <c r="F13" s="125"/>
      <c r="G13" s="126"/>
      <c r="H13" s="126"/>
      <c r="I13" s="126"/>
    </row>
    <row r="14" spans="2:9" ht="24" customHeight="1" x14ac:dyDescent="0.25">
      <c r="B14" s="1"/>
      <c r="C14" s="1"/>
      <c r="D14" s="1"/>
      <c r="E14" s="1"/>
      <c r="F14" s="47"/>
      <c r="G14" s="48"/>
      <c r="H14" s="90"/>
      <c r="I14" s="48"/>
    </row>
    <row r="15" spans="2:9" ht="23.25" x14ac:dyDescent="0.35">
      <c r="B15" s="165" t="s">
        <v>0</v>
      </c>
      <c r="C15" s="166"/>
      <c r="D15" s="166"/>
      <c r="E15" s="166"/>
      <c r="F15" s="166"/>
      <c r="G15" s="166"/>
      <c r="H15" s="166"/>
      <c r="I15" s="167"/>
    </row>
    <row r="16" spans="2:9" ht="15.75" customHeight="1" x14ac:dyDescent="0.25">
      <c r="B16" s="2"/>
      <c r="C16" s="2"/>
      <c r="D16" s="2"/>
      <c r="E16" s="2"/>
      <c r="F16" s="49"/>
      <c r="G16" s="50"/>
      <c r="H16" s="91"/>
      <c r="I16" s="50"/>
    </row>
    <row r="17" spans="2:11" ht="21.75" thickBot="1" x14ac:dyDescent="0.4">
      <c r="B17" s="22" t="s">
        <v>1</v>
      </c>
      <c r="C17" s="20"/>
      <c r="D17" s="20"/>
      <c r="E17" s="20"/>
      <c r="F17" s="51"/>
      <c r="G17" s="52" t="s">
        <v>6</v>
      </c>
      <c r="H17" s="52" t="s">
        <v>7</v>
      </c>
      <c r="I17" s="52" t="s">
        <v>461</v>
      </c>
    </row>
    <row r="18" spans="2:11" ht="16.5" thickBot="1" x14ac:dyDescent="0.3">
      <c r="B18" s="12" t="s">
        <v>2</v>
      </c>
      <c r="C18" s="121" t="s">
        <v>3</v>
      </c>
      <c r="D18" s="123"/>
      <c r="E18" s="12" t="s">
        <v>4</v>
      </c>
      <c r="F18" s="53" t="s">
        <v>5</v>
      </c>
      <c r="G18" s="83">
        <f>F2</f>
        <v>0</v>
      </c>
      <c r="H18" s="84">
        <f>F3</f>
        <v>0</v>
      </c>
      <c r="I18" s="84">
        <f>F4</f>
        <v>0.05</v>
      </c>
    </row>
    <row r="19" spans="2:11" ht="15.75" x14ac:dyDescent="0.25">
      <c r="B19" s="19">
        <v>500</v>
      </c>
      <c r="C19" s="144" t="s">
        <v>8</v>
      </c>
      <c r="D19" s="145"/>
      <c r="E19" s="19">
        <v>12</v>
      </c>
      <c r="F19" s="56">
        <v>35335</v>
      </c>
      <c r="G19" s="54">
        <f>$G$2*F19</f>
        <v>35335</v>
      </c>
      <c r="H19" s="55">
        <f>$G$3*G19</f>
        <v>35335</v>
      </c>
      <c r="I19" s="55">
        <f>$G$4*H19</f>
        <v>37101.75</v>
      </c>
      <c r="K19" s="9"/>
    </row>
    <row r="20" spans="2:11" ht="15.75" x14ac:dyDescent="0.25">
      <c r="B20" s="19">
        <v>501</v>
      </c>
      <c r="C20" s="139" t="s">
        <v>9</v>
      </c>
      <c r="D20" s="140"/>
      <c r="E20" s="19">
        <v>12</v>
      </c>
      <c r="F20" s="57">
        <v>14940</v>
      </c>
      <c r="G20" s="54">
        <f t="shared" ref="G20:G25" si="0">$G$2*F20</f>
        <v>14940</v>
      </c>
      <c r="H20" s="55">
        <f t="shared" ref="H20:H25" si="1">$G$3*G20</f>
        <v>14940</v>
      </c>
      <c r="I20" s="55">
        <f t="shared" ref="I20:I25" si="2">$G$4*H20</f>
        <v>15687</v>
      </c>
    </row>
    <row r="21" spans="2:11" ht="15.75" x14ac:dyDescent="0.25">
      <c r="B21" s="19">
        <v>502</v>
      </c>
      <c r="C21" s="139" t="s">
        <v>10</v>
      </c>
      <c r="D21" s="140"/>
      <c r="E21" s="19">
        <v>1</v>
      </c>
      <c r="F21" s="57">
        <v>11780</v>
      </c>
      <c r="G21" s="54">
        <f t="shared" si="0"/>
        <v>11780</v>
      </c>
      <c r="H21" s="55">
        <f t="shared" si="1"/>
        <v>11780</v>
      </c>
      <c r="I21" s="55">
        <f t="shared" si="2"/>
        <v>12369</v>
      </c>
    </row>
    <row r="22" spans="2:11" ht="15.75" x14ac:dyDescent="0.25">
      <c r="B22" s="19">
        <v>503</v>
      </c>
      <c r="C22" s="139" t="s">
        <v>11</v>
      </c>
      <c r="D22" s="140"/>
      <c r="E22" s="19">
        <v>1</v>
      </c>
      <c r="F22" s="57">
        <v>4225</v>
      </c>
      <c r="G22" s="54">
        <f t="shared" si="0"/>
        <v>4225</v>
      </c>
      <c r="H22" s="55">
        <f t="shared" si="1"/>
        <v>4225</v>
      </c>
      <c r="I22" s="55">
        <f t="shared" si="2"/>
        <v>4436.25</v>
      </c>
    </row>
    <row r="23" spans="2:11" ht="15.75" x14ac:dyDescent="0.25">
      <c r="B23" s="19">
        <v>504</v>
      </c>
      <c r="C23" s="139" t="s">
        <v>12</v>
      </c>
      <c r="D23" s="140"/>
      <c r="E23" s="19">
        <v>1</v>
      </c>
      <c r="F23" s="57">
        <v>15430</v>
      </c>
      <c r="G23" s="54">
        <f t="shared" si="0"/>
        <v>15430</v>
      </c>
      <c r="H23" s="55">
        <f t="shared" si="1"/>
        <v>15430</v>
      </c>
      <c r="I23" s="55">
        <f t="shared" si="2"/>
        <v>16201.5</v>
      </c>
    </row>
    <row r="24" spans="2:11" ht="15.75" x14ac:dyDescent="0.25">
      <c r="B24" s="19">
        <v>505</v>
      </c>
      <c r="C24" s="139" t="s">
        <v>13</v>
      </c>
      <c r="D24" s="140"/>
      <c r="E24" s="19">
        <v>1</v>
      </c>
      <c r="F24" s="57">
        <v>4225</v>
      </c>
      <c r="G24" s="54">
        <f t="shared" si="0"/>
        <v>4225</v>
      </c>
      <c r="H24" s="55">
        <f t="shared" si="1"/>
        <v>4225</v>
      </c>
      <c r="I24" s="55">
        <f t="shared" si="2"/>
        <v>4436.25</v>
      </c>
    </row>
    <row r="25" spans="2:11" ht="16.5" thickBot="1" x14ac:dyDescent="0.3">
      <c r="B25" s="17">
        <v>506</v>
      </c>
      <c r="C25" s="141" t="s">
        <v>14</v>
      </c>
      <c r="D25" s="142"/>
      <c r="E25" s="17">
        <v>1</v>
      </c>
      <c r="F25" s="58">
        <v>19115</v>
      </c>
      <c r="G25" s="54">
        <f t="shared" si="0"/>
        <v>19115</v>
      </c>
      <c r="H25" s="55">
        <f t="shared" si="1"/>
        <v>19115</v>
      </c>
      <c r="I25" s="55">
        <f t="shared" si="2"/>
        <v>20070.75</v>
      </c>
    </row>
    <row r="26" spans="2:11" ht="15.75" x14ac:dyDescent="0.25">
      <c r="B26" s="20"/>
      <c r="C26" s="20"/>
      <c r="D26" s="20"/>
      <c r="E26" s="20"/>
      <c r="F26" s="59"/>
      <c r="G26" s="60"/>
      <c r="H26" s="73"/>
      <c r="I26" s="60"/>
    </row>
    <row r="27" spans="2:11" ht="21.75" thickBot="1" x14ac:dyDescent="0.4">
      <c r="B27" s="28" t="s">
        <v>463</v>
      </c>
      <c r="C27" s="20"/>
      <c r="D27" s="20"/>
      <c r="E27" s="20"/>
      <c r="F27" s="59"/>
      <c r="G27" s="60"/>
      <c r="H27" s="73"/>
      <c r="I27" s="60"/>
    </row>
    <row r="28" spans="2:11" ht="16.5" thickBot="1" x14ac:dyDescent="0.3">
      <c r="B28" s="12" t="s">
        <v>2</v>
      </c>
      <c r="C28" s="121" t="s">
        <v>3</v>
      </c>
      <c r="D28" s="122"/>
      <c r="E28" s="123"/>
      <c r="F28" s="53" t="s">
        <v>17</v>
      </c>
      <c r="G28" s="83">
        <f>F2</f>
        <v>0</v>
      </c>
      <c r="H28" s="84">
        <f>F3</f>
        <v>0</v>
      </c>
      <c r="I28" s="84">
        <f>F4</f>
        <v>0.05</v>
      </c>
    </row>
    <row r="29" spans="2:11" ht="15.75" x14ac:dyDescent="0.25">
      <c r="B29" s="162">
        <v>540</v>
      </c>
      <c r="C29" s="180" t="s">
        <v>15</v>
      </c>
      <c r="D29" s="193"/>
      <c r="E29" s="181"/>
      <c r="F29" s="158">
        <v>2399500</v>
      </c>
      <c r="G29" s="152">
        <f>$G$2*F29</f>
        <v>2399500</v>
      </c>
      <c r="H29" s="155">
        <f>$G$3*G29</f>
        <v>2399500</v>
      </c>
      <c r="I29" s="155">
        <f>$G$4*H29</f>
        <v>2519475</v>
      </c>
    </row>
    <row r="30" spans="2:11" ht="15.75" x14ac:dyDescent="0.25">
      <c r="B30" s="163"/>
      <c r="C30" s="182" t="s">
        <v>16</v>
      </c>
      <c r="D30" s="194"/>
      <c r="E30" s="183"/>
      <c r="F30" s="159"/>
      <c r="G30" s="154"/>
      <c r="H30" s="156"/>
      <c r="I30" s="156"/>
    </row>
    <row r="31" spans="2:11" ht="15.75" x14ac:dyDescent="0.25">
      <c r="B31" s="19">
        <v>545</v>
      </c>
      <c r="C31" s="139" t="s">
        <v>18</v>
      </c>
      <c r="D31" s="143"/>
      <c r="E31" s="140"/>
      <c r="F31" s="57">
        <v>801340</v>
      </c>
      <c r="G31" s="55">
        <f>$G$2*F31</f>
        <v>801340</v>
      </c>
      <c r="H31" s="61">
        <f>$G$3*G31</f>
        <v>801340</v>
      </c>
      <c r="I31" s="55">
        <f>$G$4*H31</f>
        <v>841407</v>
      </c>
    </row>
    <row r="32" spans="2:11" ht="15.75" x14ac:dyDescent="0.25">
      <c r="B32" s="19">
        <v>541</v>
      </c>
      <c r="C32" s="139" t="s">
        <v>504</v>
      </c>
      <c r="D32" s="143"/>
      <c r="E32" s="140"/>
      <c r="F32" s="57">
        <v>89900</v>
      </c>
      <c r="G32" s="55">
        <f>$G$2*F32</f>
        <v>89900</v>
      </c>
      <c r="H32" s="61">
        <f>$G$3*G32</f>
        <v>89900</v>
      </c>
      <c r="I32" s="55">
        <f>$G$4*H32</f>
        <v>94395</v>
      </c>
    </row>
    <row r="33" spans="2:9" ht="15.75" x14ac:dyDescent="0.25">
      <c r="B33" s="19">
        <v>542</v>
      </c>
      <c r="C33" s="139" t="s">
        <v>19</v>
      </c>
      <c r="D33" s="143"/>
      <c r="E33" s="140"/>
      <c r="F33" s="62">
        <v>16285</v>
      </c>
      <c r="G33" s="55">
        <f>$G$2*F33</f>
        <v>16285</v>
      </c>
      <c r="H33" s="61">
        <f>$G$3*G33</f>
        <v>16285</v>
      </c>
      <c r="I33" s="55">
        <f>$G$4*H33</f>
        <v>17099.25</v>
      </c>
    </row>
    <row r="34" spans="2:9" ht="16.5" thickBot="1" x14ac:dyDescent="0.3">
      <c r="B34" s="17">
        <v>543</v>
      </c>
      <c r="C34" s="141" t="s">
        <v>20</v>
      </c>
      <c r="D34" s="157"/>
      <c r="E34" s="142"/>
      <c r="F34" s="63">
        <v>19010</v>
      </c>
      <c r="G34" s="55">
        <f>$G$2*F34</f>
        <v>19010</v>
      </c>
      <c r="H34" s="64">
        <f>$G$3*G34</f>
        <v>19010</v>
      </c>
      <c r="I34" s="55">
        <f>$G$4*H34</f>
        <v>19960.5</v>
      </c>
    </row>
    <row r="35" spans="2:9" ht="15.75" x14ac:dyDescent="0.25">
      <c r="B35" s="20"/>
      <c r="C35" s="20"/>
      <c r="D35" s="20"/>
      <c r="E35" s="20"/>
      <c r="F35" s="59"/>
      <c r="G35" s="60"/>
      <c r="H35" s="73"/>
      <c r="I35" s="60"/>
    </row>
    <row r="36" spans="2:9" ht="21.75" thickBot="1" x14ac:dyDescent="0.4">
      <c r="B36" s="22" t="s">
        <v>21</v>
      </c>
      <c r="C36" s="20"/>
      <c r="D36" s="20"/>
      <c r="E36" s="20"/>
      <c r="F36" s="59"/>
      <c r="G36" s="60"/>
      <c r="H36" s="73"/>
      <c r="I36" s="60"/>
    </row>
    <row r="37" spans="2:9" ht="16.5" thickBot="1" x14ac:dyDescent="0.3">
      <c r="B37" s="12" t="s">
        <v>2</v>
      </c>
      <c r="C37" s="121" t="s">
        <v>3</v>
      </c>
      <c r="D37" s="122"/>
      <c r="E37" s="123"/>
      <c r="F37" s="65" t="s">
        <v>17</v>
      </c>
      <c r="G37" s="83">
        <f>F2</f>
        <v>0</v>
      </c>
      <c r="H37" s="84">
        <f>F3</f>
        <v>0</v>
      </c>
      <c r="I37" s="84">
        <f>F4</f>
        <v>0.05</v>
      </c>
    </row>
    <row r="38" spans="2:9" ht="15.75" x14ac:dyDescent="0.25">
      <c r="B38" s="15">
        <v>510</v>
      </c>
      <c r="C38" s="144" t="s">
        <v>22</v>
      </c>
      <c r="D38" s="161"/>
      <c r="E38" s="145"/>
      <c r="F38" s="56">
        <v>8770</v>
      </c>
      <c r="G38" s="55">
        <f>$G$2*F38</f>
        <v>8770</v>
      </c>
      <c r="H38" s="55">
        <f>$G$3*G38</f>
        <v>8770</v>
      </c>
      <c r="I38" s="55">
        <f>$G$4*H38</f>
        <v>9208.5</v>
      </c>
    </row>
    <row r="39" spans="2:9" ht="15.75" x14ac:dyDescent="0.25">
      <c r="B39" s="19">
        <v>511</v>
      </c>
      <c r="C39" s="139" t="s">
        <v>23</v>
      </c>
      <c r="D39" s="143"/>
      <c r="E39" s="140"/>
      <c r="F39" s="57">
        <v>11450</v>
      </c>
      <c r="G39" s="55">
        <f t="shared" ref="G39:G45" si="3">$G$2*F39</f>
        <v>11450</v>
      </c>
      <c r="H39" s="55">
        <f t="shared" ref="H39:H45" si="4">$G$3*G39</f>
        <v>11450</v>
      </c>
      <c r="I39" s="55">
        <f t="shared" ref="I39:I45" si="5">$G$4*H39</f>
        <v>12022.5</v>
      </c>
    </row>
    <row r="40" spans="2:9" ht="15.75" x14ac:dyDescent="0.25">
      <c r="B40" s="19">
        <v>512</v>
      </c>
      <c r="C40" s="139" t="s">
        <v>24</v>
      </c>
      <c r="D40" s="143"/>
      <c r="E40" s="140"/>
      <c r="F40" s="57">
        <v>14255</v>
      </c>
      <c r="G40" s="55">
        <f t="shared" si="3"/>
        <v>14255</v>
      </c>
      <c r="H40" s="55">
        <f t="shared" si="4"/>
        <v>14255</v>
      </c>
      <c r="I40" s="55">
        <f t="shared" si="5"/>
        <v>14967.75</v>
      </c>
    </row>
    <row r="41" spans="2:9" ht="16.5" thickBot="1" x14ac:dyDescent="0.3">
      <c r="B41" s="17">
        <v>513</v>
      </c>
      <c r="C41" s="141" t="s">
        <v>25</v>
      </c>
      <c r="D41" s="157"/>
      <c r="E41" s="142"/>
      <c r="F41" s="58">
        <v>17080</v>
      </c>
      <c r="G41" s="55">
        <f t="shared" si="3"/>
        <v>17080</v>
      </c>
      <c r="H41" s="55">
        <f t="shared" si="4"/>
        <v>17080</v>
      </c>
      <c r="I41" s="55">
        <f t="shared" si="5"/>
        <v>17934</v>
      </c>
    </row>
    <row r="42" spans="2:9" ht="15.75" x14ac:dyDescent="0.25">
      <c r="B42" s="15">
        <v>530</v>
      </c>
      <c r="C42" s="144" t="s">
        <v>26</v>
      </c>
      <c r="D42" s="161"/>
      <c r="E42" s="145"/>
      <c r="F42" s="56">
        <v>18660</v>
      </c>
      <c r="G42" s="55">
        <f t="shared" si="3"/>
        <v>18660</v>
      </c>
      <c r="H42" s="55">
        <f t="shared" si="4"/>
        <v>18660</v>
      </c>
      <c r="I42" s="55">
        <f t="shared" si="5"/>
        <v>19593</v>
      </c>
    </row>
    <row r="43" spans="2:9" ht="15.75" x14ac:dyDescent="0.25">
      <c r="B43" s="19">
        <v>531</v>
      </c>
      <c r="C43" s="139" t="s">
        <v>27</v>
      </c>
      <c r="D43" s="143"/>
      <c r="E43" s="140"/>
      <c r="F43" s="57">
        <v>29870</v>
      </c>
      <c r="G43" s="55">
        <f t="shared" si="3"/>
        <v>29870</v>
      </c>
      <c r="H43" s="55">
        <f t="shared" si="4"/>
        <v>29870</v>
      </c>
      <c r="I43" s="55">
        <f t="shared" si="5"/>
        <v>31363.5</v>
      </c>
    </row>
    <row r="44" spans="2:9" ht="15.75" x14ac:dyDescent="0.25">
      <c r="B44" s="19">
        <v>532</v>
      </c>
      <c r="C44" s="139" t="s">
        <v>28</v>
      </c>
      <c r="D44" s="143"/>
      <c r="E44" s="140"/>
      <c r="F44" s="57">
        <v>42010</v>
      </c>
      <c r="G44" s="55">
        <f t="shared" si="3"/>
        <v>42010</v>
      </c>
      <c r="H44" s="55">
        <f t="shared" si="4"/>
        <v>42010</v>
      </c>
      <c r="I44" s="55">
        <f t="shared" si="5"/>
        <v>44110.5</v>
      </c>
    </row>
    <row r="45" spans="2:9" ht="16.5" thickBot="1" x14ac:dyDescent="0.3">
      <c r="B45" s="17">
        <v>533</v>
      </c>
      <c r="C45" s="141" t="s">
        <v>29</v>
      </c>
      <c r="D45" s="157"/>
      <c r="E45" s="142"/>
      <c r="F45" s="58">
        <v>55270</v>
      </c>
      <c r="G45" s="55">
        <f t="shared" si="3"/>
        <v>55270</v>
      </c>
      <c r="H45" s="55">
        <f t="shared" si="4"/>
        <v>55270</v>
      </c>
      <c r="I45" s="55">
        <f t="shared" si="5"/>
        <v>58033.5</v>
      </c>
    </row>
    <row r="46" spans="2:9" ht="15.75" x14ac:dyDescent="0.25">
      <c r="B46" s="20"/>
      <c r="C46" s="20"/>
      <c r="D46" s="20"/>
      <c r="E46" s="20"/>
      <c r="F46" s="59"/>
      <c r="G46" s="60"/>
      <c r="H46" s="73"/>
      <c r="I46" s="60"/>
    </row>
    <row r="47" spans="2:9" ht="21.75" thickBot="1" x14ac:dyDescent="0.4">
      <c r="B47" s="22" t="s">
        <v>30</v>
      </c>
      <c r="C47" s="20"/>
      <c r="D47" s="20"/>
      <c r="E47" s="20"/>
      <c r="F47" s="59"/>
      <c r="G47" s="60"/>
      <c r="H47" s="73"/>
      <c r="I47" s="60"/>
    </row>
    <row r="48" spans="2:9" ht="16.5" thickBot="1" x14ac:dyDescent="0.3">
      <c r="B48" s="12" t="s">
        <v>2</v>
      </c>
      <c r="C48" s="121" t="s">
        <v>3</v>
      </c>
      <c r="D48" s="122"/>
      <c r="E48" s="123"/>
      <c r="F48" s="65" t="s">
        <v>17</v>
      </c>
      <c r="G48" s="83">
        <f>F2</f>
        <v>0</v>
      </c>
      <c r="H48" s="84">
        <f>F3</f>
        <v>0</v>
      </c>
      <c r="I48" s="84">
        <f>F4</f>
        <v>0.05</v>
      </c>
    </row>
    <row r="49" spans="2:9" ht="15.75" x14ac:dyDescent="0.25">
      <c r="B49" s="19">
        <v>520</v>
      </c>
      <c r="C49" s="144" t="s">
        <v>31</v>
      </c>
      <c r="D49" s="161"/>
      <c r="E49" s="145"/>
      <c r="F49" s="57">
        <v>5840</v>
      </c>
      <c r="G49" s="55">
        <f>$G$2*F49</f>
        <v>5840</v>
      </c>
      <c r="H49" s="55">
        <f>$G$3*G49</f>
        <v>5840</v>
      </c>
      <c r="I49" s="55">
        <f>$G$4*H49</f>
        <v>6132</v>
      </c>
    </row>
    <row r="50" spans="2:9" ht="16.5" thickBot="1" x14ac:dyDescent="0.3">
      <c r="B50" s="17">
        <v>521</v>
      </c>
      <c r="C50" s="141" t="s">
        <v>32</v>
      </c>
      <c r="D50" s="157"/>
      <c r="E50" s="142"/>
      <c r="F50" s="58">
        <v>7505</v>
      </c>
      <c r="G50" s="55">
        <f>$G$2*F50</f>
        <v>7505</v>
      </c>
      <c r="H50" s="55">
        <f>$G$3*G50</f>
        <v>7505</v>
      </c>
      <c r="I50" s="55">
        <f>$G$4*H50</f>
        <v>7880.25</v>
      </c>
    </row>
    <row r="51" spans="2:9" ht="15.75" x14ac:dyDescent="0.25">
      <c r="B51" s="20"/>
      <c r="C51" s="20"/>
      <c r="D51" s="20"/>
      <c r="E51" s="20"/>
      <c r="F51" s="59"/>
      <c r="G51" s="60"/>
      <c r="H51" s="73"/>
      <c r="I51" s="60"/>
    </row>
    <row r="52" spans="2:9" ht="21.75" thickBot="1" x14ac:dyDescent="0.4">
      <c r="B52" s="22" t="s">
        <v>33</v>
      </c>
      <c r="C52" s="20"/>
      <c r="D52" s="20"/>
      <c r="E52" s="20"/>
      <c r="F52" s="59"/>
      <c r="G52" s="60"/>
      <c r="H52" s="73"/>
      <c r="I52" s="60"/>
    </row>
    <row r="53" spans="2:9" ht="16.5" thickBot="1" x14ac:dyDescent="0.3">
      <c r="B53" s="12" t="s">
        <v>2</v>
      </c>
      <c r="C53" s="121" t="s">
        <v>3</v>
      </c>
      <c r="D53" s="122"/>
      <c r="E53" s="123"/>
      <c r="F53" s="65" t="s">
        <v>17</v>
      </c>
      <c r="G53" s="83">
        <f>F2</f>
        <v>0</v>
      </c>
      <c r="H53" s="84">
        <f>F3</f>
        <v>0</v>
      </c>
      <c r="I53" s="84">
        <f>F4</f>
        <v>0.05</v>
      </c>
    </row>
    <row r="54" spans="2:9" ht="16.5" thickBot="1" x14ac:dyDescent="0.3">
      <c r="B54" s="12">
        <v>535</v>
      </c>
      <c r="C54" s="121" t="s">
        <v>34</v>
      </c>
      <c r="D54" s="122"/>
      <c r="E54" s="123"/>
      <c r="F54" s="65">
        <v>23115</v>
      </c>
      <c r="G54" s="55">
        <f>$G$2*F54</f>
        <v>23115</v>
      </c>
      <c r="H54" s="55">
        <f>$G$3*G54</f>
        <v>23115</v>
      </c>
      <c r="I54" s="55">
        <f>$G$4*H54</f>
        <v>24270.75</v>
      </c>
    </row>
    <row r="55" spans="2:9" ht="15.75" x14ac:dyDescent="0.25">
      <c r="B55" s="20"/>
      <c r="C55" s="20"/>
      <c r="D55" s="20"/>
      <c r="E55" s="20"/>
      <c r="F55" s="59"/>
      <c r="G55" s="60"/>
      <c r="H55" s="73"/>
      <c r="I55" s="60"/>
    </row>
    <row r="56" spans="2:9" ht="21.75" thickBot="1" x14ac:dyDescent="0.4">
      <c r="B56" s="22" t="s">
        <v>35</v>
      </c>
      <c r="C56" s="20"/>
      <c r="D56" s="20"/>
      <c r="E56" s="20"/>
      <c r="F56" s="59"/>
      <c r="G56" s="60"/>
      <c r="H56" s="73"/>
      <c r="I56" s="60"/>
    </row>
    <row r="57" spans="2:9" ht="16.5" thickBot="1" x14ac:dyDescent="0.3">
      <c r="B57" s="12" t="s">
        <v>2</v>
      </c>
      <c r="C57" s="121" t="s">
        <v>3</v>
      </c>
      <c r="D57" s="122"/>
      <c r="E57" s="123"/>
      <c r="F57" s="65" t="s">
        <v>17</v>
      </c>
      <c r="G57" s="83">
        <f>F2</f>
        <v>0</v>
      </c>
      <c r="H57" s="84">
        <f>F3</f>
        <v>0</v>
      </c>
      <c r="I57" s="84">
        <f>F4</f>
        <v>0.05</v>
      </c>
    </row>
    <row r="58" spans="2:9" ht="16.5" thickBot="1" x14ac:dyDescent="0.3">
      <c r="B58" s="12">
        <v>536</v>
      </c>
      <c r="C58" s="121" t="s">
        <v>36</v>
      </c>
      <c r="D58" s="122"/>
      <c r="E58" s="123"/>
      <c r="F58" s="65">
        <v>17780</v>
      </c>
      <c r="G58" s="55">
        <f>$G$2*F58</f>
        <v>17780</v>
      </c>
      <c r="H58" s="55">
        <f>$G$3*G58</f>
        <v>17780</v>
      </c>
      <c r="I58" s="55">
        <f>$G$4*H58</f>
        <v>18669</v>
      </c>
    </row>
    <row r="59" spans="2:9" ht="24" customHeight="1" x14ac:dyDescent="0.25"/>
    <row r="60" spans="2:9" ht="23.25" x14ac:dyDescent="0.35">
      <c r="B60" s="165" t="s">
        <v>37</v>
      </c>
      <c r="C60" s="166"/>
      <c r="D60" s="166"/>
      <c r="E60" s="166"/>
      <c r="F60" s="166"/>
      <c r="G60" s="166"/>
      <c r="H60" s="166"/>
      <c r="I60" s="167"/>
    </row>
    <row r="62" spans="2:9" ht="21.75" thickBot="1" x14ac:dyDescent="0.4">
      <c r="B62" s="22" t="s">
        <v>38</v>
      </c>
      <c r="C62" s="20"/>
      <c r="D62" s="20"/>
      <c r="E62" s="20"/>
      <c r="F62" s="59"/>
      <c r="G62" s="60"/>
      <c r="H62" s="73"/>
      <c r="I62" s="60"/>
    </row>
    <row r="63" spans="2:9" ht="16.5" thickBot="1" x14ac:dyDescent="0.3">
      <c r="B63" s="12" t="s">
        <v>2</v>
      </c>
      <c r="C63" s="121" t="s">
        <v>3</v>
      </c>
      <c r="D63" s="122"/>
      <c r="E63" s="123"/>
      <c r="F63" s="65" t="s">
        <v>17</v>
      </c>
      <c r="G63" s="83">
        <f>F2</f>
        <v>0</v>
      </c>
      <c r="H63" s="84">
        <f>F3</f>
        <v>0</v>
      </c>
      <c r="I63" s="84">
        <f>F4</f>
        <v>0.05</v>
      </c>
    </row>
    <row r="64" spans="2:9" ht="16.5" thickBot="1" x14ac:dyDescent="0.3">
      <c r="B64" s="12">
        <v>550</v>
      </c>
      <c r="C64" s="121" t="s">
        <v>39</v>
      </c>
      <c r="D64" s="122"/>
      <c r="E64" s="123"/>
      <c r="F64" s="65">
        <v>12960</v>
      </c>
      <c r="G64" s="55">
        <f>$G$2*F64</f>
        <v>12960</v>
      </c>
      <c r="H64" s="55">
        <f>$G$3*G64</f>
        <v>12960</v>
      </c>
      <c r="I64" s="55">
        <f>$G$4*H64</f>
        <v>13608</v>
      </c>
    </row>
    <row r="65" spans="2:9" ht="15.75" x14ac:dyDescent="0.25">
      <c r="B65" s="20"/>
      <c r="C65" s="20"/>
      <c r="D65" s="20"/>
      <c r="E65" s="20"/>
      <c r="F65" s="59"/>
      <c r="G65" s="60"/>
      <c r="H65" s="73"/>
      <c r="I65" s="60"/>
    </row>
    <row r="66" spans="2:9" ht="21.75" thickBot="1" x14ac:dyDescent="0.4">
      <c r="B66" s="22" t="s">
        <v>40</v>
      </c>
      <c r="C66" s="20"/>
      <c r="D66" s="20"/>
      <c r="E66" s="20"/>
      <c r="F66" s="59"/>
      <c r="G66" s="60"/>
      <c r="H66" s="73"/>
      <c r="I66" s="60"/>
    </row>
    <row r="67" spans="2:9" ht="16.5" thickBot="1" x14ac:dyDescent="0.3">
      <c r="B67" s="12" t="s">
        <v>2</v>
      </c>
      <c r="C67" s="121" t="s">
        <v>3</v>
      </c>
      <c r="D67" s="122"/>
      <c r="E67" s="123"/>
      <c r="F67" s="65" t="s">
        <v>17</v>
      </c>
      <c r="G67" s="83">
        <f>F2</f>
        <v>0</v>
      </c>
      <c r="H67" s="84">
        <f>F3</f>
        <v>0</v>
      </c>
      <c r="I67" s="84">
        <f>F4</f>
        <v>0.05</v>
      </c>
    </row>
    <row r="68" spans="2:9" ht="15.75" x14ac:dyDescent="0.25">
      <c r="B68" s="15">
        <v>594</v>
      </c>
      <c r="C68" s="144" t="s">
        <v>41</v>
      </c>
      <c r="D68" s="161"/>
      <c r="E68" s="161"/>
      <c r="F68" s="56">
        <v>8240</v>
      </c>
      <c r="G68" s="55">
        <f>$G$2*F68</f>
        <v>8240</v>
      </c>
      <c r="H68" s="55">
        <f>$G$3*G68</f>
        <v>8240</v>
      </c>
      <c r="I68" s="55">
        <f>$G$4*H68</f>
        <v>8652</v>
      </c>
    </row>
    <row r="69" spans="2:9" ht="15.75" x14ac:dyDescent="0.25">
      <c r="B69" s="19">
        <v>595</v>
      </c>
      <c r="C69" s="139" t="s">
        <v>42</v>
      </c>
      <c r="D69" s="143"/>
      <c r="E69" s="143"/>
      <c r="F69" s="57">
        <v>11900</v>
      </c>
      <c r="G69" s="55">
        <f>$G$2*F69</f>
        <v>11900</v>
      </c>
      <c r="H69" s="55">
        <f>$G$3*G69</f>
        <v>11900</v>
      </c>
      <c r="I69" s="55">
        <f>$G$4*H69</f>
        <v>12495</v>
      </c>
    </row>
    <row r="70" spans="2:9" ht="15.75" x14ac:dyDescent="0.25">
      <c r="B70" s="19">
        <v>597</v>
      </c>
      <c r="C70" s="139" t="s">
        <v>43</v>
      </c>
      <c r="D70" s="143"/>
      <c r="E70" s="143"/>
      <c r="F70" s="57">
        <v>13100</v>
      </c>
      <c r="G70" s="55">
        <f>$G$2*F70</f>
        <v>13100</v>
      </c>
      <c r="H70" s="55">
        <f>$G$3*G70</f>
        <v>13100</v>
      </c>
      <c r="I70" s="55">
        <f>$G$4*H70</f>
        <v>13755</v>
      </c>
    </row>
    <row r="71" spans="2:9" ht="16.5" thickBot="1" x14ac:dyDescent="0.3">
      <c r="B71" s="17">
        <v>598</v>
      </c>
      <c r="C71" s="141" t="s">
        <v>44</v>
      </c>
      <c r="D71" s="157"/>
      <c r="E71" s="157"/>
      <c r="F71" s="58">
        <v>25000</v>
      </c>
      <c r="G71" s="55">
        <f>$G$2*F71</f>
        <v>25000</v>
      </c>
      <c r="H71" s="55">
        <f>$G$3*G71</f>
        <v>25000</v>
      </c>
      <c r="I71" s="55">
        <f>$G$4*H71</f>
        <v>26250</v>
      </c>
    </row>
    <row r="72" spans="2:9" ht="15.75" x14ac:dyDescent="0.25">
      <c r="B72" s="20"/>
      <c r="C72" s="20"/>
      <c r="D72" s="20"/>
      <c r="E72" s="20"/>
      <c r="F72" s="59"/>
      <c r="G72" s="60"/>
      <c r="H72" s="73"/>
      <c r="I72" s="60"/>
    </row>
    <row r="73" spans="2:9" ht="21.75" thickBot="1" x14ac:dyDescent="0.4">
      <c r="B73" s="22" t="s">
        <v>45</v>
      </c>
      <c r="C73" s="20"/>
      <c r="D73" s="20"/>
      <c r="E73" s="20"/>
      <c r="F73" s="59"/>
      <c r="G73" s="60"/>
      <c r="H73" s="73"/>
      <c r="I73" s="60"/>
    </row>
    <row r="74" spans="2:9" ht="16.5" thickBot="1" x14ac:dyDescent="0.3">
      <c r="B74" s="12" t="s">
        <v>2</v>
      </c>
      <c r="C74" s="121" t="s">
        <v>3</v>
      </c>
      <c r="D74" s="123"/>
      <c r="E74" s="12" t="s">
        <v>46</v>
      </c>
      <c r="F74" s="65" t="s">
        <v>17</v>
      </c>
      <c r="G74" s="83">
        <f>F2</f>
        <v>0</v>
      </c>
      <c r="H74" s="84">
        <f>F3</f>
        <v>0</v>
      </c>
      <c r="I74" s="84">
        <f>F4</f>
        <v>0.05</v>
      </c>
    </row>
    <row r="75" spans="2:9" ht="15.75" x14ac:dyDescent="0.25">
      <c r="B75" s="15">
        <v>565</v>
      </c>
      <c r="C75" s="144" t="s">
        <v>47</v>
      </c>
      <c r="D75" s="145"/>
      <c r="E75" s="15" t="s">
        <v>50</v>
      </c>
      <c r="F75" s="56">
        <v>17150</v>
      </c>
      <c r="G75" s="55">
        <f>$G$2*F75</f>
        <v>17150</v>
      </c>
      <c r="H75" s="55">
        <f>$G$3*G75</f>
        <v>17150</v>
      </c>
      <c r="I75" s="55">
        <f>$G$4*H75</f>
        <v>18007.5</v>
      </c>
    </row>
    <row r="76" spans="2:9" ht="15.75" x14ac:dyDescent="0.25">
      <c r="B76" s="19">
        <v>566</v>
      </c>
      <c r="C76" s="139" t="s">
        <v>49</v>
      </c>
      <c r="D76" s="140"/>
      <c r="E76" s="19" t="s">
        <v>51</v>
      </c>
      <c r="F76" s="57">
        <v>23640</v>
      </c>
      <c r="G76" s="55">
        <f>$G$2*F76</f>
        <v>23640</v>
      </c>
      <c r="H76" s="55">
        <f>$G$3*G76</f>
        <v>23640</v>
      </c>
      <c r="I76" s="55">
        <f>$G$4*H76</f>
        <v>24822</v>
      </c>
    </row>
    <row r="77" spans="2:9" ht="16.5" thickBot="1" x14ac:dyDescent="0.3">
      <c r="B77" s="17">
        <v>567</v>
      </c>
      <c r="C77" s="141" t="s">
        <v>48</v>
      </c>
      <c r="D77" s="142"/>
      <c r="E77" s="17" t="s">
        <v>52</v>
      </c>
      <c r="F77" s="58">
        <v>41425</v>
      </c>
      <c r="G77" s="55">
        <f>$G$2*F77</f>
        <v>41425</v>
      </c>
      <c r="H77" s="55">
        <f>$G$3*G77</f>
        <v>41425</v>
      </c>
      <c r="I77" s="55">
        <f>$G$4*H77</f>
        <v>43496.25</v>
      </c>
    </row>
    <row r="78" spans="2:9" ht="15.75" x14ac:dyDescent="0.25">
      <c r="B78" s="20"/>
      <c r="C78" s="20"/>
      <c r="D78" s="20"/>
      <c r="E78" s="20"/>
      <c r="F78" s="59"/>
      <c r="G78" s="60"/>
      <c r="H78" s="73"/>
      <c r="I78" s="60"/>
    </row>
    <row r="79" spans="2:9" ht="21.75" thickBot="1" x14ac:dyDescent="0.4">
      <c r="B79" s="22" t="s">
        <v>55</v>
      </c>
      <c r="C79" s="20"/>
      <c r="D79" s="20"/>
      <c r="E79" s="20"/>
      <c r="F79" s="59"/>
      <c r="G79" s="60"/>
      <c r="H79" s="73"/>
      <c r="I79" s="60"/>
    </row>
    <row r="80" spans="2:9" ht="16.5" thickBot="1" x14ac:dyDescent="0.3">
      <c r="B80" s="12" t="s">
        <v>2</v>
      </c>
      <c r="C80" s="121" t="s">
        <v>3</v>
      </c>
      <c r="D80" s="122"/>
      <c r="E80" s="123"/>
      <c r="F80" s="65" t="s">
        <v>17</v>
      </c>
      <c r="G80" s="83">
        <f>F2</f>
        <v>0</v>
      </c>
      <c r="H80" s="84">
        <f>F3</f>
        <v>0</v>
      </c>
      <c r="I80" s="84">
        <f>F4</f>
        <v>0.05</v>
      </c>
    </row>
    <row r="81" spans="2:9" ht="15.75" x14ac:dyDescent="0.25">
      <c r="B81" s="15">
        <v>591</v>
      </c>
      <c r="C81" s="144" t="s">
        <v>59</v>
      </c>
      <c r="D81" s="161"/>
      <c r="E81" s="145"/>
      <c r="F81" s="56">
        <v>12960</v>
      </c>
      <c r="G81" s="55">
        <f>$G$2*F81</f>
        <v>12960</v>
      </c>
      <c r="H81" s="55">
        <f>$G$3*G81</f>
        <v>12960</v>
      </c>
      <c r="I81" s="55">
        <f>$G$4*H81</f>
        <v>13608</v>
      </c>
    </row>
    <row r="82" spans="2:9" ht="15.75" x14ac:dyDescent="0.25">
      <c r="B82" s="19">
        <v>592</v>
      </c>
      <c r="C82" s="139" t="s">
        <v>60</v>
      </c>
      <c r="D82" s="143"/>
      <c r="E82" s="140"/>
      <c r="F82" s="57">
        <v>19100</v>
      </c>
      <c r="G82" s="55">
        <f>$G$2*F82</f>
        <v>19100</v>
      </c>
      <c r="H82" s="55">
        <f>$G$3*G82</f>
        <v>19100</v>
      </c>
      <c r="I82" s="55">
        <f>$G$4*H82</f>
        <v>20055</v>
      </c>
    </row>
    <row r="83" spans="2:9" ht="15.75" x14ac:dyDescent="0.25">
      <c r="B83" s="19" t="s">
        <v>56</v>
      </c>
      <c r="C83" s="139" t="s">
        <v>61</v>
      </c>
      <c r="D83" s="143"/>
      <c r="E83" s="140"/>
      <c r="F83" s="57">
        <v>18440</v>
      </c>
      <c r="G83" s="55">
        <f>$G$2*F83</f>
        <v>18440</v>
      </c>
      <c r="H83" s="55">
        <f>$G$3*G83</f>
        <v>18440</v>
      </c>
      <c r="I83" s="55">
        <f>$G$4*H83</f>
        <v>19362</v>
      </c>
    </row>
    <row r="84" spans="2:9" ht="15.75" x14ac:dyDescent="0.25">
      <c r="B84" s="19" t="s">
        <v>57</v>
      </c>
      <c r="C84" s="139" t="s">
        <v>62</v>
      </c>
      <c r="D84" s="143"/>
      <c r="E84" s="140"/>
      <c r="F84" s="57">
        <v>20055</v>
      </c>
      <c r="G84" s="55">
        <f>$G$2*F84</f>
        <v>20055</v>
      </c>
      <c r="H84" s="55">
        <f>$G$3*G84</f>
        <v>20055</v>
      </c>
      <c r="I84" s="55">
        <f>$G$4*H84</f>
        <v>21057.75</v>
      </c>
    </row>
    <row r="85" spans="2:9" ht="16.5" thickBot="1" x14ac:dyDescent="0.3">
      <c r="B85" s="17" t="s">
        <v>58</v>
      </c>
      <c r="C85" s="141" t="s">
        <v>63</v>
      </c>
      <c r="D85" s="157"/>
      <c r="E85" s="142"/>
      <c r="F85" s="58">
        <v>24465</v>
      </c>
      <c r="G85" s="55">
        <f>$G$2*F85</f>
        <v>24465</v>
      </c>
      <c r="H85" s="55">
        <f>$G$3*G85</f>
        <v>24465</v>
      </c>
      <c r="I85" s="55">
        <f>$G$4*H85</f>
        <v>25688.25</v>
      </c>
    </row>
    <row r="86" spans="2:9" ht="15.75" x14ac:dyDescent="0.25">
      <c r="B86" s="114"/>
      <c r="C86" s="114"/>
      <c r="D86" s="114"/>
      <c r="E86" s="114"/>
      <c r="F86" s="69"/>
      <c r="G86" s="70"/>
      <c r="H86" s="70"/>
      <c r="I86" s="70"/>
    </row>
    <row r="87" spans="2:9" ht="15.75" x14ac:dyDescent="0.25">
      <c r="B87" s="114"/>
      <c r="C87" s="114"/>
      <c r="D87" s="114"/>
      <c r="E87" s="114"/>
      <c r="F87" s="69"/>
      <c r="G87" s="70"/>
      <c r="H87" s="70"/>
      <c r="I87" s="70"/>
    </row>
    <row r="88" spans="2:9" ht="15.75" x14ac:dyDescent="0.25">
      <c r="B88" s="114"/>
      <c r="C88" s="114"/>
      <c r="D88" s="114"/>
      <c r="E88" s="114"/>
      <c r="F88" s="69"/>
      <c r="G88" s="70"/>
      <c r="H88" s="70"/>
      <c r="I88" s="70"/>
    </row>
    <row r="89" spans="2:9" x14ac:dyDescent="0.25">
      <c r="F89" s="45" t="s">
        <v>477</v>
      </c>
    </row>
    <row r="90" spans="2:9" ht="4.5" customHeight="1" thickBot="1" x14ac:dyDescent="0.3">
      <c r="B90" s="3"/>
      <c r="C90" s="3"/>
      <c r="D90" s="3"/>
      <c r="E90" s="3"/>
      <c r="F90" s="66"/>
      <c r="G90" s="67"/>
      <c r="H90" s="92"/>
      <c r="I90" s="67"/>
    </row>
    <row r="91" spans="2:9" ht="15.75" thickTop="1" x14ac:dyDescent="0.25">
      <c r="B91" s="4">
        <v>0.125</v>
      </c>
      <c r="C91" s="188" t="s">
        <v>64</v>
      </c>
      <c r="D91" s="188"/>
      <c r="E91" s="188"/>
      <c r="F91" s="188"/>
      <c r="G91" s="188"/>
      <c r="H91" s="188"/>
      <c r="I91" s="87">
        <v>0.125</v>
      </c>
    </row>
    <row r="92" spans="2:9" x14ac:dyDescent="0.25">
      <c r="B92" s="128"/>
      <c r="C92" s="128"/>
      <c r="D92" s="128"/>
      <c r="E92" s="128"/>
      <c r="F92" s="128"/>
      <c r="G92" s="128"/>
      <c r="H92" s="128"/>
      <c r="I92" s="128"/>
    </row>
    <row r="93" spans="2:9" ht="15.75" thickBot="1" x14ac:dyDescent="0.3">
      <c r="B93" s="128"/>
      <c r="C93" s="128"/>
      <c r="D93" s="106"/>
      <c r="F93" s="45" t="s">
        <v>477</v>
      </c>
    </row>
    <row r="94" spans="2:9" ht="15" customHeight="1" x14ac:dyDescent="0.25">
      <c r="B94" s="128"/>
      <c r="C94" s="128"/>
      <c r="D94" s="106"/>
      <c r="E94" s="129" t="s">
        <v>523</v>
      </c>
      <c r="F94" s="130"/>
      <c r="G94" s="133" t="s">
        <v>508</v>
      </c>
      <c r="H94" s="133"/>
      <c r="I94" s="133"/>
    </row>
    <row r="95" spans="2:9" ht="9.75" customHeight="1" x14ac:dyDescent="0.25">
      <c r="B95" s="128"/>
      <c r="C95" s="128"/>
      <c r="D95" s="106"/>
      <c r="E95" s="131"/>
      <c r="F95" s="132"/>
      <c r="G95" s="108"/>
      <c r="H95" s="108"/>
      <c r="I95" s="108"/>
    </row>
    <row r="96" spans="2:9" ht="15" customHeight="1" x14ac:dyDescent="0.25">
      <c r="B96" s="128"/>
      <c r="C96" s="128"/>
      <c r="D96" s="106"/>
      <c r="E96" s="131"/>
      <c r="F96" s="132"/>
      <c r="G96" s="133" t="s">
        <v>503</v>
      </c>
      <c r="H96" s="133"/>
      <c r="I96" s="133"/>
    </row>
    <row r="97" spans="2:9" ht="9.75" customHeight="1" x14ac:dyDescent="0.25">
      <c r="B97" s="128"/>
      <c r="C97" s="128"/>
      <c r="D97" s="106"/>
      <c r="E97" s="134" t="s">
        <v>522</v>
      </c>
      <c r="F97" s="135"/>
      <c r="G97" s="107"/>
      <c r="H97" s="107"/>
      <c r="I97" s="107"/>
    </row>
    <row r="98" spans="2:9" ht="19.5" customHeight="1" thickBot="1" x14ac:dyDescent="0.3">
      <c r="B98" s="128"/>
      <c r="C98" s="128"/>
      <c r="D98" s="106"/>
      <c r="E98" s="136"/>
      <c r="F98" s="137"/>
      <c r="G98" s="138" t="s">
        <v>502</v>
      </c>
      <c r="H98" s="138"/>
      <c r="I98" s="138"/>
    </row>
    <row r="99" spans="2:9" x14ac:dyDescent="0.25">
      <c r="B99" s="128"/>
      <c r="C99" s="128"/>
      <c r="D99" s="106"/>
      <c r="E99" s="41"/>
      <c r="F99" s="46"/>
      <c r="G99" s="46"/>
      <c r="H99" s="89"/>
      <c r="I99" s="46"/>
    </row>
    <row r="100" spans="2:9" ht="18.75" customHeight="1" x14ac:dyDescent="0.25">
      <c r="B100" s="124" t="s">
        <v>525</v>
      </c>
      <c r="C100" s="124"/>
      <c r="D100" s="125" t="s">
        <v>521</v>
      </c>
      <c r="E100" s="125"/>
      <c r="F100" s="125"/>
      <c r="G100" s="126" t="str">
        <f>(C1)</f>
        <v>Lista N°97 - NOVIEMBRE 2024</v>
      </c>
      <c r="H100" s="126"/>
      <c r="I100" s="126"/>
    </row>
    <row r="101" spans="2:9" ht="21" customHeight="1" x14ac:dyDescent="0.3">
      <c r="B101" s="127" t="s">
        <v>524</v>
      </c>
      <c r="C101" s="127"/>
      <c r="D101" s="125"/>
      <c r="E101" s="125"/>
      <c r="F101" s="125"/>
      <c r="G101" s="126"/>
      <c r="H101" s="126"/>
      <c r="I101" s="126"/>
    </row>
    <row r="102" spans="2:9" s="112" customFormat="1" ht="15.75" customHeight="1" x14ac:dyDescent="0.3">
      <c r="B102" s="109"/>
      <c r="C102" s="109"/>
      <c r="D102" s="110"/>
      <c r="E102" s="110"/>
      <c r="F102" s="110"/>
      <c r="G102" s="111"/>
      <c r="H102" s="111"/>
      <c r="I102" s="111"/>
    </row>
    <row r="103" spans="2:9" ht="21.75" thickBot="1" x14ac:dyDescent="0.4">
      <c r="B103" s="22" t="s">
        <v>65</v>
      </c>
      <c r="C103" s="20"/>
      <c r="D103" s="20"/>
      <c r="E103" s="20"/>
      <c r="F103" s="59"/>
      <c r="G103" s="52" t="s">
        <v>6</v>
      </c>
      <c r="H103" s="52" t="s">
        <v>7</v>
      </c>
      <c r="I103" s="52" t="s">
        <v>461</v>
      </c>
    </row>
    <row r="104" spans="2:9" ht="16.5" thickBot="1" x14ac:dyDescent="0.3">
      <c r="B104" s="12" t="s">
        <v>2</v>
      </c>
      <c r="C104" s="121" t="s">
        <v>3</v>
      </c>
      <c r="D104" s="122"/>
      <c r="E104" s="123"/>
      <c r="F104" s="65" t="s">
        <v>17</v>
      </c>
      <c r="G104" s="83">
        <f>F2</f>
        <v>0</v>
      </c>
      <c r="H104" s="84">
        <f>F3</f>
        <v>0</v>
      </c>
      <c r="I104" s="84">
        <f>F4</f>
        <v>0.05</v>
      </c>
    </row>
    <row r="105" spans="2:9" ht="16.5" thickBot="1" x14ac:dyDescent="0.3">
      <c r="B105" s="12">
        <v>596</v>
      </c>
      <c r="C105" s="121" t="s">
        <v>66</v>
      </c>
      <c r="D105" s="122"/>
      <c r="E105" s="123"/>
      <c r="F105" s="65">
        <v>17575</v>
      </c>
      <c r="G105" s="55">
        <f>$G$2*F105</f>
        <v>17575</v>
      </c>
      <c r="H105" s="55">
        <f>$G$3*G105</f>
        <v>17575</v>
      </c>
      <c r="I105" s="55">
        <f>$G$4*H105</f>
        <v>18453.75</v>
      </c>
    </row>
    <row r="106" spans="2:9" ht="15.75" x14ac:dyDescent="0.25">
      <c r="B106" s="20"/>
      <c r="C106" s="20"/>
      <c r="D106" s="20"/>
      <c r="E106" s="20"/>
      <c r="F106" s="59"/>
      <c r="G106" s="60"/>
      <c r="H106" s="73"/>
      <c r="I106" s="60"/>
    </row>
    <row r="107" spans="2:9" ht="21.75" thickBot="1" x14ac:dyDescent="0.4">
      <c r="B107" s="22" t="s">
        <v>67</v>
      </c>
      <c r="C107" s="20"/>
      <c r="D107" s="20"/>
      <c r="E107" s="20"/>
      <c r="F107" s="59"/>
      <c r="G107" s="60"/>
      <c r="H107" s="73"/>
      <c r="I107" s="60"/>
    </row>
    <row r="108" spans="2:9" ht="16.5" thickBot="1" x14ac:dyDescent="0.3">
      <c r="B108" s="12" t="s">
        <v>2</v>
      </c>
      <c r="C108" s="121" t="s">
        <v>3</v>
      </c>
      <c r="D108" s="122"/>
      <c r="E108" s="123"/>
      <c r="F108" s="65" t="s">
        <v>17</v>
      </c>
      <c r="G108" s="83">
        <f>F2</f>
        <v>0</v>
      </c>
      <c r="H108" s="84">
        <f>F3</f>
        <v>0</v>
      </c>
      <c r="I108" s="84">
        <f>F4</f>
        <v>0.05</v>
      </c>
    </row>
    <row r="109" spans="2:9" ht="16.5" thickBot="1" x14ac:dyDescent="0.3">
      <c r="B109" s="12">
        <v>593</v>
      </c>
      <c r="C109" s="121" t="s">
        <v>67</v>
      </c>
      <c r="D109" s="122"/>
      <c r="E109" s="123"/>
      <c r="F109" s="65">
        <v>12075</v>
      </c>
      <c r="G109" s="55">
        <f>$G$2*F109</f>
        <v>12075</v>
      </c>
      <c r="H109" s="55">
        <f>$G$3*G109</f>
        <v>12075</v>
      </c>
      <c r="I109" s="55">
        <f>$G$4*H109</f>
        <v>12678.75</v>
      </c>
    </row>
    <row r="110" spans="2:9" ht="15.75" x14ac:dyDescent="0.25">
      <c r="B110" s="37"/>
      <c r="C110" s="37"/>
      <c r="D110" s="101"/>
      <c r="E110" s="37"/>
      <c r="F110" s="69"/>
      <c r="G110" s="70"/>
      <c r="H110" s="70"/>
      <c r="I110" s="70"/>
    </row>
    <row r="111" spans="2:9" ht="21.75" thickBot="1" x14ac:dyDescent="0.4">
      <c r="B111" s="22" t="s">
        <v>53</v>
      </c>
      <c r="C111" s="20"/>
      <c r="D111" s="20"/>
      <c r="E111" s="20"/>
      <c r="F111" s="59"/>
      <c r="G111" s="60"/>
      <c r="H111" s="73"/>
      <c r="I111" s="60"/>
    </row>
    <row r="112" spans="2:9" ht="16.5" thickBot="1" x14ac:dyDescent="0.3">
      <c r="B112" s="12" t="s">
        <v>2</v>
      </c>
      <c r="C112" s="121" t="s">
        <v>3</v>
      </c>
      <c r="D112" s="122"/>
      <c r="E112" s="123"/>
      <c r="F112" s="65" t="s">
        <v>17</v>
      </c>
      <c r="G112" s="83">
        <f>F2</f>
        <v>0</v>
      </c>
      <c r="H112" s="84">
        <f>F3</f>
        <v>0</v>
      </c>
      <c r="I112" s="84">
        <f>F4</f>
        <v>0.05</v>
      </c>
    </row>
    <row r="113" spans="2:9" ht="16.5" thickBot="1" x14ac:dyDescent="0.3">
      <c r="B113" s="12">
        <v>599</v>
      </c>
      <c r="C113" s="121" t="s">
        <v>54</v>
      </c>
      <c r="D113" s="122"/>
      <c r="E113" s="123"/>
      <c r="F113" s="65">
        <v>21535</v>
      </c>
      <c r="G113" s="55">
        <f>$G$2*F113</f>
        <v>21535</v>
      </c>
      <c r="H113" s="55">
        <f>$G$3*G113</f>
        <v>21535</v>
      </c>
      <c r="I113" s="55">
        <f>$G$4*H113</f>
        <v>22611.75</v>
      </c>
    </row>
    <row r="114" spans="2:9" ht="15.75" x14ac:dyDescent="0.25">
      <c r="B114" s="37"/>
      <c r="C114" s="37"/>
      <c r="D114" s="101"/>
      <c r="E114" s="37"/>
      <c r="F114" s="69"/>
      <c r="G114" s="70"/>
      <c r="H114" s="70"/>
      <c r="I114" s="70"/>
    </row>
    <row r="115" spans="2:9" ht="21.75" thickBot="1" x14ac:dyDescent="0.4">
      <c r="B115" s="22" t="s">
        <v>68</v>
      </c>
      <c r="C115" s="20"/>
      <c r="D115" s="20"/>
      <c r="E115" s="20"/>
      <c r="F115" s="59"/>
      <c r="G115" s="60"/>
      <c r="H115" s="73"/>
      <c r="I115" s="60"/>
    </row>
    <row r="116" spans="2:9" ht="16.5" thickBot="1" x14ac:dyDescent="0.3">
      <c r="B116" s="12" t="s">
        <v>2</v>
      </c>
      <c r="C116" s="121" t="s">
        <v>3</v>
      </c>
      <c r="D116" s="122"/>
      <c r="E116" s="123"/>
      <c r="F116" s="65" t="s">
        <v>17</v>
      </c>
      <c r="G116" s="83">
        <f>F2</f>
        <v>0</v>
      </c>
      <c r="H116" s="84">
        <f>F3</f>
        <v>0</v>
      </c>
      <c r="I116" s="84">
        <f>F4</f>
        <v>0.05</v>
      </c>
    </row>
    <row r="117" spans="2:9" ht="16.5" thickBot="1" x14ac:dyDescent="0.3">
      <c r="B117" s="12">
        <v>570</v>
      </c>
      <c r="C117" s="121" t="s">
        <v>69</v>
      </c>
      <c r="D117" s="122"/>
      <c r="E117" s="123"/>
      <c r="F117" s="65">
        <v>25915</v>
      </c>
      <c r="G117" s="55">
        <f>$G$2*F117</f>
        <v>25915</v>
      </c>
      <c r="H117" s="55">
        <f>$G$3*G117</f>
        <v>25915</v>
      </c>
      <c r="I117" s="55">
        <f>$G$4*H117</f>
        <v>27210.75</v>
      </c>
    </row>
    <row r="118" spans="2:9" ht="15.75" x14ac:dyDescent="0.25">
      <c r="B118" s="20"/>
      <c r="C118" s="20"/>
      <c r="D118" s="20"/>
      <c r="E118" s="20"/>
      <c r="F118" s="59"/>
      <c r="G118" s="60"/>
      <c r="H118" s="73"/>
      <c r="I118" s="60"/>
    </row>
    <row r="119" spans="2:9" ht="21.75" thickBot="1" x14ac:dyDescent="0.4">
      <c r="B119" s="28" t="s">
        <v>462</v>
      </c>
      <c r="C119" s="20"/>
      <c r="D119" s="20"/>
      <c r="E119" s="20"/>
      <c r="F119" s="59"/>
      <c r="G119" s="60"/>
      <c r="H119" s="73"/>
      <c r="I119" s="60"/>
    </row>
    <row r="120" spans="2:9" ht="16.5" thickBot="1" x14ac:dyDescent="0.3">
      <c r="B120" s="12" t="s">
        <v>2</v>
      </c>
      <c r="C120" s="121" t="s">
        <v>3</v>
      </c>
      <c r="D120" s="122"/>
      <c r="E120" s="123"/>
      <c r="F120" s="65" t="s">
        <v>17</v>
      </c>
      <c r="G120" s="83">
        <f>F2</f>
        <v>0</v>
      </c>
      <c r="H120" s="84">
        <f>F3</f>
        <v>0</v>
      </c>
      <c r="I120" s="84">
        <f>F4</f>
        <v>0.05</v>
      </c>
    </row>
    <row r="121" spans="2:9" ht="15.75" x14ac:dyDescent="0.25">
      <c r="B121" s="15">
        <v>970</v>
      </c>
      <c r="C121" s="144" t="s">
        <v>74</v>
      </c>
      <c r="D121" s="161"/>
      <c r="E121" s="145"/>
      <c r="F121" s="56">
        <v>154820</v>
      </c>
      <c r="G121" s="55">
        <f>$G$2*F121</f>
        <v>154820</v>
      </c>
      <c r="H121" s="55">
        <f>$G$3*G121</f>
        <v>154820</v>
      </c>
      <c r="I121" s="55">
        <f>$G$4*H121</f>
        <v>162561</v>
      </c>
    </row>
    <row r="122" spans="2:9" ht="15.75" x14ac:dyDescent="0.25">
      <c r="B122" s="19">
        <v>971</v>
      </c>
      <c r="C122" s="139" t="s">
        <v>75</v>
      </c>
      <c r="D122" s="143"/>
      <c r="E122" s="140"/>
      <c r="F122" s="57">
        <v>178640</v>
      </c>
      <c r="G122" s="55">
        <f t="shared" ref="G122:G130" si="6">$G$2*F122</f>
        <v>178640</v>
      </c>
      <c r="H122" s="55">
        <f t="shared" ref="H122:H130" si="7">$G$3*G122</f>
        <v>178640</v>
      </c>
      <c r="I122" s="55">
        <f t="shared" ref="I122:I130" si="8">$G$4*H122</f>
        <v>187572</v>
      </c>
    </row>
    <row r="123" spans="2:9" ht="15.75" x14ac:dyDescent="0.25">
      <c r="B123" s="19">
        <v>972</v>
      </c>
      <c r="C123" s="139" t="s">
        <v>76</v>
      </c>
      <c r="D123" s="143"/>
      <c r="E123" s="140"/>
      <c r="F123" s="57">
        <v>199910</v>
      </c>
      <c r="G123" s="55">
        <f t="shared" si="6"/>
        <v>199910</v>
      </c>
      <c r="H123" s="55">
        <f t="shared" si="7"/>
        <v>199910</v>
      </c>
      <c r="I123" s="55">
        <f t="shared" si="8"/>
        <v>209905.5</v>
      </c>
    </row>
    <row r="124" spans="2:9" ht="15.75" x14ac:dyDescent="0.25">
      <c r="B124" s="19" t="s">
        <v>70</v>
      </c>
      <c r="C124" s="139" t="s">
        <v>77</v>
      </c>
      <c r="D124" s="143"/>
      <c r="E124" s="140"/>
      <c r="F124" s="57">
        <v>223425</v>
      </c>
      <c r="G124" s="55">
        <f t="shared" si="6"/>
        <v>223425</v>
      </c>
      <c r="H124" s="55">
        <f t="shared" si="7"/>
        <v>223425</v>
      </c>
      <c r="I124" s="55">
        <f t="shared" si="8"/>
        <v>234596.25</v>
      </c>
    </row>
    <row r="125" spans="2:9" ht="15.75" x14ac:dyDescent="0.25">
      <c r="B125" s="19">
        <v>973</v>
      </c>
      <c r="C125" s="139" t="s">
        <v>78</v>
      </c>
      <c r="D125" s="143"/>
      <c r="E125" s="140"/>
      <c r="F125" s="57">
        <v>308000</v>
      </c>
      <c r="G125" s="55">
        <f t="shared" si="6"/>
        <v>308000</v>
      </c>
      <c r="H125" s="55">
        <f t="shared" si="7"/>
        <v>308000</v>
      </c>
      <c r="I125" s="55">
        <f t="shared" si="8"/>
        <v>323400</v>
      </c>
    </row>
    <row r="126" spans="2:9" ht="15.75" x14ac:dyDescent="0.25">
      <c r="B126" s="19">
        <v>974</v>
      </c>
      <c r="C126" s="139" t="s">
        <v>79</v>
      </c>
      <c r="D126" s="143"/>
      <c r="E126" s="140"/>
      <c r="F126" s="57">
        <v>342195</v>
      </c>
      <c r="G126" s="55">
        <f t="shared" si="6"/>
        <v>342195</v>
      </c>
      <c r="H126" s="55">
        <f t="shared" si="7"/>
        <v>342195</v>
      </c>
      <c r="I126" s="55">
        <f t="shared" si="8"/>
        <v>359304.75</v>
      </c>
    </row>
    <row r="127" spans="2:9" ht="15.75" x14ac:dyDescent="0.25">
      <c r="B127" s="19">
        <v>977</v>
      </c>
      <c r="C127" s="139" t="s">
        <v>80</v>
      </c>
      <c r="D127" s="143"/>
      <c r="E127" s="140"/>
      <c r="F127" s="57">
        <v>85515</v>
      </c>
      <c r="G127" s="55">
        <f t="shared" si="6"/>
        <v>85515</v>
      </c>
      <c r="H127" s="55">
        <f t="shared" si="7"/>
        <v>85515</v>
      </c>
      <c r="I127" s="55">
        <f t="shared" si="8"/>
        <v>89790.75</v>
      </c>
    </row>
    <row r="128" spans="2:9" ht="15.75" x14ac:dyDescent="0.25">
      <c r="B128" s="19" t="s">
        <v>71</v>
      </c>
      <c r="C128" s="139" t="s">
        <v>81</v>
      </c>
      <c r="D128" s="143"/>
      <c r="E128" s="140"/>
      <c r="F128" s="57">
        <v>9000</v>
      </c>
      <c r="G128" s="55">
        <f t="shared" si="6"/>
        <v>9000</v>
      </c>
      <c r="H128" s="55">
        <f t="shared" si="7"/>
        <v>9000</v>
      </c>
      <c r="I128" s="55">
        <f t="shared" si="8"/>
        <v>9450</v>
      </c>
    </row>
    <row r="129" spans="2:9" ht="15.75" x14ac:dyDescent="0.25">
      <c r="B129" s="19" t="s">
        <v>72</v>
      </c>
      <c r="C129" s="139" t="s">
        <v>82</v>
      </c>
      <c r="D129" s="143"/>
      <c r="E129" s="140"/>
      <c r="F129" s="57">
        <v>16740</v>
      </c>
      <c r="G129" s="55">
        <f t="shared" si="6"/>
        <v>16740</v>
      </c>
      <c r="H129" s="55">
        <f t="shared" si="7"/>
        <v>16740</v>
      </c>
      <c r="I129" s="55">
        <f t="shared" si="8"/>
        <v>17577</v>
      </c>
    </row>
    <row r="130" spans="2:9" ht="16.5" thickBot="1" x14ac:dyDescent="0.3">
      <c r="B130" s="17" t="s">
        <v>73</v>
      </c>
      <c r="C130" s="141" t="s">
        <v>83</v>
      </c>
      <c r="D130" s="157"/>
      <c r="E130" s="142"/>
      <c r="F130" s="58">
        <v>7285</v>
      </c>
      <c r="G130" s="55">
        <f t="shared" si="6"/>
        <v>7285</v>
      </c>
      <c r="H130" s="55">
        <f t="shared" si="7"/>
        <v>7285</v>
      </c>
      <c r="I130" s="55">
        <f t="shared" si="8"/>
        <v>7649.25</v>
      </c>
    </row>
    <row r="131" spans="2:9" ht="15.75" x14ac:dyDescent="0.25">
      <c r="B131" s="20"/>
      <c r="C131" s="20"/>
      <c r="D131" s="20"/>
      <c r="E131" s="20"/>
      <c r="F131" s="59"/>
      <c r="G131" s="60"/>
      <c r="H131" s="73"/>
      <c r="I131" s="60"/>
    </row>
    <row r="132" spans="2:9" ht="21.75" thickBot="1" x14ac:dyDescent="0.4">
      <c r="B132" s="21" t="s">
        <v>84</v>
      </c>
      <c r="C132" s="20"/>
      <c r="D132" s="20"/>
      <c r="E132" s="20"/>
      <c r="F132" s="59"/>
      <c r="G132" s="60"/>
      <c r="H132" s="73"/>
      <c r="I132" s="60"/>
    </row>
    <row r="133" spans="2:9" ht="16.5" thickBot="1" x14ac:dyDescent="0.3">
      <c r="B133" s="12" t="s">
        <v>2</v>
      </c>
      <c r="C133" s="121" t="s">
        <v>85</v>
      </c>
      <c r="D133" s="122"/>
      <c r="E133" s="123"/>
      <c r="F133" s="65" t="s">
        <v>17</v>
      </c>
      <c r="G133" s="83">
        <f>F2</f>
        <v>0</v>
      </c>
      <c r="H133" s="84">
        <f>F3</f>
        <v>0</v>
      </c>
      <c r="I133" s="84">
        <f>F4</f>
        <v>0.05</v>
      </c>
    </row>
    <row r="134" spans="2:9" ht="15.75" x14ac:dyDescent="0.25">
      <c r="B134" s="15">
        <v>580</v>
      </c>
      <c r="C134" s="144" t="s">
        <v>86</v>
      </c>
      <c r="D134" s="161"/>
      <c r="E134" s="145"/>
      <c r="F134" s="56">
        <v>3460</v>
      </c>
      <c r="G134" s="55">
        <f>$G$2*F134</f>
        <v>3460</v>
      </c>
      <c r="H134" s="55">
        <f>$G$3*G134</f>
        <v>3460</v>
      </c>
      <c r="I134" s="55">
        <f t="shared" ref="I134:I140" si="9">$G$4*H134</f>
        <v>3633</v>
      </c>
    </row>
    <row r="135" spans="2:9" ht="15.75" x14ac:dyDescent="0.25">
      <c r="B135" s="19">
        <v>581</v>
      </c>
      <c r="C135" s="139" t="s">
        <v>87</v>
      </c>
      <c r="D135" s="143"/>
      <c r="E135" s="140"/>
      <c r="F135" s="57">
        <v>4410</v>
      </c>
      <c r="G135" s="55">
        <f t="shared" ref="G135:G140" si="10">$G$2*F135</f>
        <v>4410</v>
      </c>
      <c r="H135" s="55">
        <f t="shared" ref="H135:H140" si="11">$G$3*G135</f>
        <v>4410</v>
      </c>
      <c r="I135" s="55">
        <f t="shared" si="9"/>
        <v>4630.5</v>
      </c>
    </row>
    <row r="136" spans="2:9" ht="15.75" x14ac:dyDescent="0.25">
      <c r="B136" s="19">
        <v>582</v>
      </c>
      <c r="C136" s="139" t="s">
        <v>88</v>
      </c>
      <c r="D136" s="143"/>
      <c r="E136" s="140"/>
      <c r="F136" s="57">
        <v>5610</v>
      </c>
      <c r="G136" s="55">
        <f t="shared" si="10"/>
        <v>5610</v>
      </c>
      <c r="H136" s="55">
        <f t="shared" si="11"/>
        <v>5610</v>
      </c>
      <c r="I136" s="55">
        <f t="shared" si="9"/>
        <v>5890.5</v>
      </c>
    </row>
    <row r="137" spans="2:9" ht="15.75" x14ac:dyDescent="0.25">
      <c r="B137" s="19">
        <v>583</v>
      </c>
      <c r="C137" s="139" t="s">
        <v>89</v>
      </c>
      <c r="D137" s="143"/>
      <c r="E137" s="140"/>
      <c r="F137" s="57">
        <v>8500</v>
      </c>
      <c r="G137" s="55">
        <f t="shared" si="10"/>
        <v>8500</v>
      </c>
      <c r="H137" s="55">
        <f t="shared" si="11"/>
        <v>8500</v>
      </c>
      <c r="I137" s="55">
        <f t="shared" si="9"/>
        <v>8925</v>
      </c>
    </row>
    <row r="138" spans="2:9" ht="15.75" x14ac:dyDescent="0.25">
      <c r="B138" s="19">
        <v>584</v>
      </c>
      <c r="C138" s="139" t="s">
        <v>90</v>
      </c>
      <c r="D138" s="143"/>
      <c r="E138" s="140"/>
      <c r="F138" s="57">
        <v>2325</v>
      </c>
      <c r="G138" s="55">
        <f t="shared" si="10"/>
        <v>2325</v>
      </c>
      <c r="H138" s="55">
        <f t="shared" si="11"/>
        <v>2325</v>
      </c>
      <c r="I138" s="55">
        <f t="shared" si="9"/>
        <v>2441.25</v>
      </c>
    </row>
    <row r="139" spans="2:9" ht="15.75" x14ac:dyDescent="0.25">
      <c r="B139" s="19">
        <v>585</v>
      </c>
      <c r="C139" s="139" t="s">
        <v>91</v>
      </c>
      <c r="D139" s="143"/>
      <c r="E139" s="140"/>
      <c r="F139" s="57">
        <v>3240</v>
      </c>
      <c r="G139" s="55">
        <f t="shared" si="10"/>
        <v>3240</v>
      </c>
      <c r="H139" s="55">
        <f t="shared" si="11"/>
        <v>3240</v>
      </c>
      <c r="I139" s="55">
        <f t="shared" si="9"/>
        <v>3402</v>
      </c>
    </row>
    <row r="140" spans="2:9" ht="16.5" thickBot="1" x14ac:dyDescent="0.3">
      <c r="B140" s="17">
        <v>586</v>
      </c>
      <c r="C140" s="141" t="s">
        <v>92</v>
      </c>
      <c r="D140" s="157"/>
      <c r="E140" s="142"/>
      <c r="F140" s="58">
        <v>7985</v>
      </c>
      <c r="G140" s="55">
        <f t="shared" si="10"/>
        <v>7985</v>
      </c>
      <c r="H140" s="55">
        <f t="shared" si="11"/>
        <v>7985</v>
      </c>
      <c r="I140" s="55">
        <f t="shared" si="9"/>
        <v>8384.25</v>
      </c>
    </row>
    <row r="141" spans="2:9" ht="23.25" customHeight="1" x14ac:dyDescent="0.25"/>
    <row r="142" spans="2:9" ht="23.25" x14ac:dyDescent="0.35">
      <c r="B142" s="165" t="s">
        <v>93</v>
      </c>
      <c r="C142" s="166"/>
      <c r="D142" s="166"/>
      <c r="E142" s="166"/>
      <c r="F142" s="166"/>
      <c r="G142" s="166"/>
      <c r="H142" s="166"/>
      <c r="I142" s="167"/>
    </row>
    <row r="143" spans="2:9" ht="14.25" customHeight="1" x14ac:dyDescent="0.35">
      <c r="B143" s="5"/>
      <c r="C143" s="5"/>
      <c r="D143" s="5"/>
      <c r="E143" s="5"/>
      <c r="F143" s="71"/>
      <c r="G143" s="72"/>
      <c r="H143" s="93"/>
      <c r="I143" s="72"/>
    </row>
    <row r="144" spans="2:9" ht="21.75" thickBot="1" x14ac:dyDescent="0.4">
      <c r="B144" s="22" t="s">
        <v>94</v>
      </c>
    </row>
    <row r="145" spans="2:9" ht="16.5" thickBot="1" x14ac:dyDescent="0.3">
      <c r="B145" s="12" t="s">
        <v>2</v>
      </c>
      <c r="C145" s="121" t="s">
        <v>3</v>
      </c>
      <c r="D145" s="123"/>
      <c r="E145" s="12" t="s">
        <v>95</v>
      </c>
      <c r="F145" s="65" t="s">
        <v>17</v>
      </c>
      <c r="G145" s="85">
        <f>F2</f>
        <v>0</v>
      </c>
      <c r="H145" s="86">
        <f>F3</f>
        <v>0</v>
      </c>
      <c r="I145" s="86">
        <f>F4</f>
        <v>0.05</v>
      </c>
    </row>
    <row r="146" spans="2:9" ht="15.75" x14ac:dyDescent="0.25">
      <c r="B146" s="15">
        <v>950</v>
      </c>
      <c r="C146" s="144" t="s">
        <v>96</v>
      </c>
      <c r="D146" s="145"/>
      <c r="E146" s="15" t="s">
        <v>98</v>
      </c>
      <c r="F146" s="56">
        <v>6610</v>
      </c>
      <c r="G146" s="55">
        <f>$G$2*F146</f>
        <v>6610</v>
      </c>
      <c r="H146" s="55">
        <f>$G$3*G146</f>
        <v>6610</v>
      </c>
      <c r="I146" s="55">
        <f>$G$4*H146</f>
        <v>6940.5</v>
      </c>
    </row>
    <row r="147" spans="2:9" ht="15.75" x14ac:dyDescent="0.25">
      <c r="B147" s="19">
        <v>951</v>
      </c>
      <c r="C147" s="139" t="s">
        <v>97</v>
      </c>
      <c r="D147" s="140"/>
      <c r="E147" s="19" t="s">
        <v>99</v>
      </c>
      <c r="F147" s="57">
        <v>17830</v>
      </c>
      <c r="G147" s="55">
        <f>$G$2*F147</f>
        <v>17830</v>
      </c>
      <c r="H147" s="55">
        <f>$G$3*G147</f>
        <v>17830</v>
      </c>
      <c r="I147" s="55">
        <f>$G$4*H147</f>
        <v>18721.5</v>
      </c>
    </row>
    <row r="148" spans="2:9" ht="16.5" thickBot="1" x14ac:dyDescent="0.3">
      <c r="B148" s="17">
        <v>953</v>
      </c>
      <c r="C148" s="141" t="s">
        <v>475</v>
      </c>
      <c r="D148" s="142"/>
      <c r="E148" s="17" t="s">
        <v>476</v>
      </c>
      <c r="F148" s="58">
        <v>22780</v>
      </c>
      <c r="G148" s="55">
        <f>$G$2*F148</f>
        <v>22780</v>
      </c>
      <c r="H148" s="55">
        <f>$G$3*G148</f>
        <v>22780</v>
      </c>
      <c r="I148" s="55">
        <f>$G$4*H148</f>
        <v>23919</v>
      </c>
    </row>
    <row r="149" spans="2:9" s="35" customFormat="1" ht="15.75" x14ac:dyDescent="0.25">
      <c r="B149" s="34"/>
      <c r="C149" s="34"/>
      <c r="D149" s="34"/>
      <c r="E149" s="34"/>
      <c r="F149" s="59"/>
      <c r="G149" s="60"/>
      <c r="H149" s="73"/>
      <c r="I149" s="60"/>
    </row>
    <row r="150" spans="2:9" ht="21.75" thickBot="1" x14ac:dyDescent="0.4">
      <c r="B150" s="22" t="s">
        <v>100</v>
      </c>
      <c r="C150" s="20"/>
      <c r="D150" s="20"/>
      <c r="E150" s="20"/>
      <c r="F150" s="59"/>
      <c r="G150" s="60"/>
      <c r="H150" s="73"/>
      <c r="I150" s="60"/>
    </row>
    <row r="151" spans="2:9" ht="16.5" thickBot="1" x14ac:dyDescent="0.3">
      <c r="B151" s="12" t="s">
        <v>2</v>
      </c>
      <c r="C151" s="121" t="s">
        <v>3</v>
      </c>
      <c r="D151" s="122"/>
      <c r="E151" s="123"/>
      <c r="F151" s="65" t="s">
        <v>17</v>
      </c>
      <c r="G151" s="83">
        <f>F2</f>
        <v>0</v>
      </c>
      <c r="H151" s="84">
        <f>F3</f>
        <v>0</v>
      </c>
      <c r="I151" s="84">
        <f>F4</f>
        <v>0.05</v>
      </c>
    </row>
    <row r="152" spans="2:9" ht="15.75" x14ac:dyDescent="0.25">
      <c r="B152" s="15">
        <v>901</v>
      </c>
      <c r="C152" s="144" t="s">
        <v>101</v>
      </c>
      <c r="D152" s="161"/>
      <c r="E152" s="145"/>
      <c r="F152" s="56">
        <v>3500</v>
      </c>
      <c r="G152" s="55">
        <f>$G$2*F152</f>
        <v>3500</v>
      </c>
      <c r="H152" s="55">
        <f>$G$3*G152</f>
        <v>3500</v>
      </c>
      <c r="I152" s="55">
        <f>$G$4*H152</f>
        <v>3675</v>
      </c>
    </row>
    <row r="153" spans="2:9" ht="15.75" x14ac:dyDescent="0.25">
      <c r="B153" s="19">
        <v>903</v>
      </c>
      <c r="C153" s="139" t="s">
        <v>102</v>
      </c>
      <c r="D153" s="143"/>
      <c r="E153" s="140"/>
      <c r="F153" s="57">
        <v>10135</v>
      </c>
      <c r="G153" s="55">
        <f>$G$2*F153</f>
        <v>10135</v>
      </c>
      <c r="H153" s="55">
        <f>$G$3*G153</f>
        <v>10135</v>
      </c>
      <c r="I153" s="55">
        <f>$G$4*H153</f>
        <v>10641.75</v>
      </c>
    </row>
    <row r="154" spans="2:9" ht="16.5" thickBot="1" x14ac:dyDescent="0.3">
      <c r="B154" s="17">
        <v>904</v>
      </c>
      <c r="C154" s="141" t="s">
        <v>103</v>
      </c>
      <c r="D154" s="157"/>
      <c r="E154" s="142"/>
      <c r="F154" s="58">
        <v>15700</v>
      </c>
      <c r="G154" s="55">
        <f>$G$2*F154</f>
        <v>15700</v>
      </c>
      <c r="H154" s="55">
        <f>$G$3*G154</f>
        <v>15700</v>
      </c>
      <c r="I154" s="55">
        <f>$G$4*H154</f>
        <v>16485</v>
      </c>
    </row>
    <row r="155" spans="2:9" ht="15.75" x14ac:dyDescent="0.25">
      <c r="B155" s="20"/>
      <c r="C155" s="20"/>
      <c r="D155" s="20"/>
      <c r="E155" s="20"/>
      <c r="F155" s="59"/>
      <c r="G155" s="60"/>
      <c r="H155" s="73"/>
      <c r="I155" s="60"/>
    </row>
    <row r="156" spans="2:9" ht="21.75" thickBot="1" x14ac:dyDescent="0.4">
      <c r="B156" s="22" t="s">
        <v>104</v>
      </c>
      <c r="C156" s="20"/>
      <c r="D156" s="20"/>
      <c r="E156" s="20"/>
      <c r="F156" s="59"/>
      <c r="G156" s="60"/>
      <c r="H156" s="73"/>
      <c r="I156" s="60"/>
    </row>
    <row r="157" spans="2:9" ht="16.5" thickBot="1" x14ac:dyDescent="0.3">
      <c r="B157" s="12" t="s">
        <v>2</v>
      </c>
      <c r="C157" s="121" t="s">
        <v>3</v>
      </c>
      <c r="D157" s="122"/>
      <c r="E157" s="123"/>
      <c r="F157" s="65" t="s">
        <v>17</v>
      </c>
      <c r="G157" s="83">
        <f>F2</f>
        <v>0</v>
      </c>
      <c r="H157" s="84">
        <f>F3</f>
        <v>0</v>
      </c>
      <c r="I157" s="84">
        <f>F4</f>
        <v>0.05</v>
      </c>
    </row>
    <row r="158" spans="2:9" ht="15.75" x14ac:dyDescent="0.25">
      <c r="B158" s="15">
        <v>990</v>
      </c>
      <c r="C158" s="144" t="s">
        <v>105</v>
      </c>
      <c r="D158" s="161"/>
      <c r="E158" s="145"/>
      <c r="F158" s="56">
        <v>2320</v>
      </c>
      <c r="G158" s="55">
        <f>$G$2*F158</f>
        <v>2320</v>
      </c>
      <c r="H158" s="55">
        <f>$G$3*G158</f>
        <v>2320</v>
      </c>
      <c r="I158" s="55">
        <f>$G$4*H158</f>
        <v>2436</v>
      </c>
    </row>
    <row r="159" spans="2:9" ht="15.75" x14ac:dyDescent="0.25">
      <c r="B159" s="19">
        <v>991</v>
      </c>
      <c r="C159" s="139" t="s">
        <v>106</v>
      </c>
      <c r="D159" s="143"/>
      <c r="E159" s="140"/>
      <c r="F159" s="57">
        <v>4580</v>
      </c>
      <c r="G159" s="55">
        <f>$G$2*F159</f>
        <v>4580</v>
      </c>
      <c r="H159" s="55">
        <f>$G$3*G159</f>
        <v>4580</v>
      </c>
      <c r="I159" s="55">
        <f>$G$4*H159</f>
        <v>4809</v>
      </c>
    </row>
    <row r="160" spans="2:9" ht="15.75" x14ac:dyDescent="0.25">
      <c r="B160" s="19">
        <v>992</v>
      </c>
      <c r="C160" s="139" t="s">
        <v>107</v>
      </c>
      <c r="D160" s="143"/>
      <c r="E160" s="140"/>
      <c r="F160" s="57">
        <v>18150</v>
      </c>
      <c r="G160" s="55">
        <f>$G$2*F160</f>
        <v>18150</v>
      </c>
      <c r="H160" s="55">
        <f>$G$3*G160</f>
        <v>18150</v>
      </c>
      <c r="I160" s="55">
        <f>$G$4*H160</f>
        <v>19057.5</v>
      </c>
    </row>
    <row r="161" spans="2:9" ht="15.75" x14ac:dyDescent="0.25">
      <c r="B161" s="19">
        <v>993</v>
      </c>
      <c r="C161" s="139" t="s">
        <v>108</v>
      </c>
      <c r="D161" s="143"/>
      <c r="E161" s="140"/>
      <c r="F161" s="57">
        <v>3710</v>
      </c>
      <c r="G161" s="55">
        <f>$G$2*F161</f>
        <v>3710</v>
      </c>
      <c r="H161" s="55">
        <f>$G$3*G161</f>
        <v>3710</v>
      </c>
      <c r="I161" s="55">
        <f>$G$4*H161</f>
        <v>3895.5</v>
      </c>
    </row>
    <row r="162" spans="2:9" ht="16.5" thickBot="1" x14ac:dyDescent="0.3">
      <c r="B162" s="17">
        <v>994</v>
      </c>
      <c r="C162" s="141" t="s">
        <v>109</v>
      </c>
      <c r="D162" s="157"/>
      <c r="E162" s="142"/>
      <c r="F162" s="58">
        <v>5055</v>
      </c>
      <c r="G162" s="55">
        <f>$G$2*F162</f>
        <v>5055</v>
      </c>
      <c r="H162" s="55">
        <f>$G$3*G162</f>
        <v>5055</v>
      </c>
      <c r="I162" s="55">
        <f>$G$4*H162</f>
        <v>5307.75</v>
      </c>
    </row>
    <row r="163" spans="2:9" ht="15.75" x14ac:dyDescent="0.25">
      <c r="B163" s="20"/>
      <c r="C163" s="20"/>
      <c r="D163" s="20"/>
      <c r="E163" s="20"/>
      <c r="F163" s="59"/>
      <c r="G163" s="60"/>
      <c r="H163" s="73"/>
      <c r="I163" s="60"/>
    </row>
    <row r="164" spans="2:9" ht="21.75" thickBot="1" x14ac:dyDescent="0.4">
      <c r="B164" s="22" t="s">
        <v>110</v>
      </c>
      <c r="C164" s="20"/>
      <c r="D164" s="20"/>
      <c r="E164" s="20"/>
      <c r="F164" s="59"/>
      <c r="G164" s="60"/>
      <c r="H164" s="73"/>
      <c r="I164" s="60"/>
    </row>
    <row r="165" spans="2:9" ht="16.5" thickBot="1" x14ac:dyDescent="0.3">
      <c r="B165" s="12" t="s">
        <v>2</v>
      </c>
      <c r="C165" s="121" t="s">
        <v>3</v>
      </c>
      <c r="D165" s="122"/>
      <c r="E165" s="123"/>
      <c r="F165" s="65" t="s">
        <v>17</v>
      </c>
      <c r="G165" s="85">
        <f>F2</f>
        <v>0</v>
      </c>
      <c r="H165" s="86">
        <f>F3</f>
        <v>0</v>
      </c>
      <c r="I165" s="86">
        <f>F4</f>
        <v>0.05</v>
      </c>
    </row>
    <row r="166" spans="2:9" ht="15.75" x14ac:dyDescent="0.25">
      <c r="B166" s="15">
        <v>930</v>
      </c>
      <c r="C166" s="144" t="s">
        <v>111</v>
      </c>
      <c r="D166" s="161"/>
      <c r="E166" s="145"/>
      <c r="F166" s="56">
        <v>14150</v>
      </c>
      <c r="G166" s="55">
        <f>$G$2*F166</f>
        <v>14150</v>
      </c>
      <c r="H166" s="55">
        <f>$G$3*G166</f>
        <v>14150</v>
      </c>
      <c r="I166" s="55">
        <f>$G$4*H166</f>
        <v>14857.5</v>
      </c>
    </row>
    <row r="167" spans="2:9" ht="16.5" thickBot="1" x14ac:dyDescent="0.3">
      <c r="B167" s="17">
        <v>931</v>
      </c>
      <c r="C167" s="141" t="s">
        <v>112</v>
      </c>
      <c r="D167" s="157"/>
      <c r="E167" s="142"/>
      <c r="F167" s="58">
        <v>18375</v>
      </c>
      <c r="G167" s="55">
        <f>$G$2*F167</f>
        <v>18375</v>
      </c>
      <c r="H167" s="55">
        <f>$G$3*G167</f>
        <v>18375</v>
      </c>
      <c r="I167" s="55">
        <f>$G$4*H167</f>
        <v>19293.75</v>
      </c>
    </row>
    <row r="168" spans="2:9" ht="15.75" x14ac:dyDescent="0.25">
      <c r="B168" s="20"/>
      <c r="C168" s="20"/>
      <c r="D168" s="20"/>
      <c r="E168" s="20"/>
      <c r="F168" s="59"/>
      <c r="G168" s="73"/>
      <c r="H168" s="73"/>
      <c r="I168" s="73"/>
    </row>
    <row r="169" spans="2:9" ht="21.75" thickBot="1" x14ac:dyDescent="0.4">
      <c r="B169" s="22" t="s">
        <v>113</v>
      </c>
      <c r="C169" s="20"/>
      <c r="D169" s="20"/>
      <c r="E169" s="20"/>
      <c r="F169" s="59"/>
      <c r="G169" s="73"/>
      <c r="H169" s="73"/>
      <c r="I169" s="73"/>
    </row>
    <row r="170" spans="2:9" ht="16.5" thickBot="1" x14ac:dyDescent="0.3">
      <c r="B170" s="12" t="s">
        <v>2</v>
      </c>
      <c r="C170" s="121" t="s">
        <v>3</v>
      </c>
      <c r="D170" s="123"/>
      <c r="E170" s="12" t="s">
        <v>505</v>
      </c>
      <c r="F170" s="65" t="s">
        <v>17</v>
      </c>
      <c r="G170" s="85">
        <f>F2</f>
        <v>0</v>
      </c>
      <c r="H170" s="86">
        <f>F3</f>
        <v>0</v>
      </c>
      <c r="I170" s="86">
        <f>F4</f>
        <v>0.05</v>
      </c>
    </row>
    <row r="171" spans="2:9" ht="16.5" thickBot="1" x14ac:dyDescent="0.3">
      <c r="B171" s="12">
        <v>880</v>
      </c>
      <c r="C171" s="121" t="s">
        <v>96</v>
      </c>
      <c r="D171" s="123"/>
      <c r="E171" s="30" t="s">
        <v>465</v>
      </c>
      <c r="F171" s="65">
        <v>16540</v>
      </c>
      <c r="G171" s="55">
        <f>$G$2*F171</f>
        <v>16540</v>
      </c>
      <c r="H171" s="55">
        <f>$G$3*G171</f>
        <v>16540</v>
      </c>
      <c r="I171" s="55">
        <f>$G$4*H171</f>
        <v>17367</v>
      </c>
    </row>
    <row r="172" spans="2:9" ht="15.75" x14ac:dyDescent="0.25">
      <c r="B172" s="20"/>
      <c r="C172" s="20"/>
      <c r="D172" s="20"/>
      <c r="E172" s="20"/>
      <c r="F172" s="59"/>
      <c r="G172" s="73"/>
      <c r="H172" s="73"/>
      <c r="I172" s="73"/>
    </row>
    <row r="173" spans="2:9" ht="21.75" thickBot="1" x14ac:dyDescent="0.4">
      <c r="B173" s="22" t="s">
        <v>114</v>
      </c>
      <c r="C173" s="20"/>
      <c r="D173" s="20"/>
      <c r="E173" s="20"/>
      <c r="F173" s="59"/>
      <c r="G173" s="73"/>
      <c r="H173" s="73"/>
      <c r="I173" s="73"/>
    </row>
    <row r="174" spans="2:9" ht="16.5" thickBot="1" x14ac:dyDescent="0.3">
      <c r="B174" s="12" t="s">
        <v>2</v>
      </c>
      <c r="C174" s="121" t="s">
        <v>3</v>
      </c>
      <c r="D174" s="122"/>
      <c r="E174" s="123"/>
      <c r="F174" s="65" t="s">
        <v>17</v>
      </c>
      <c r="G174" s="83">
        <f>F2</f>
        <v>0</v>
      </c>
      <c r="H174" s="84">
        <f>F3</f>
        <v>0</v>
      </c>
      <c r="I174" s="84">
        <f>F4</f>
        <v>0.05</v>
      </c>
    </row>
    <row r="175" spans="2:9" ht="15.75" x14ac:dyDescent="0.25">
      <c r="B175" s="15">
        <v>927</v>
      </c>
      <c r="C175" s="144" t="s">
        <v>115</v>
      </c>
      <c r="D175" s="161"/>
      <c r="E175" s="145"/>
      <c r="F175" s="56">
        <v>14255</v>
      </c>
      <c r="G175" s="55">
        <f>$G$2*F175</f>
        <v>14255</v>
      </c>
      <c r="H175" s="55">
        <f>$G$3*G175</f>
        <v>14255</v>
      </c>
      <c r="I175" s="55">
        <f>$G$4*H175</f>
        <v>14967.75</v>
      </c>
    </row>
    <row r="176" spans="2:9" ht="16.5" thickBot="1" x14ac:dyDescent="0.3">
      <c r="B176" s="17">
        <v>928</v>
      </c>
      <c r="C176" s="141" t="s">
        <v>116</v>
      </c>
      <c r="D176" s="157"/>
      <c r="E176" s="142"/>
      <c r="F176" s="58">
        <v>23195</v>
      </c>
      <c r="G176" s="55">
        <f>$G$2*F176</f>
        <v>23195</v>
      </c>
      <c r="H176" s="55">
        <f>$G$3*G176</f>
        <v>23195</v>
      </c>
      <c r="I176" s="55">
        <f>$G$4*H176</f>
        <v>24354.75</v>
      </c>
    </row>
    <row r="177" spans="2:9" ht="15.75" thickBot="1" x14ac:dyDescent="0.3">
      <c r="B177" s="3"/>
      <c r="C177" s="3"/>
      <c r="D177" s="3"/>
      <c r="E177" s="3"/>
      <c r="F177" s="66"/>
      <c r="G177" s="67"/>
      <c r="H177" s="92"/>
      <c r="I177" s="67"/>
    </row>
    <row r="178" spans="2:9" ht="15.75" thickTop="1" x14ac:dyDescent="0.25">
      <c r="B178" s="6">
        <v>0.25</v>
      </c>
      <c r="C178" s="188" t="s">
        <v>64</v>
      </c>
      <c r="D178" s="188"/>
      <c r="E178" s="188"/>
      <c r="F178" s="188"/>
      <c r="G178" s="188"/>
      <c r="H178" s="188"/>
      <c r="I178" s="88" t="s">
        <v>496</v>
      </c>
    </row>
    <row r="179" spans="2:9" x14ac:dyDescent="0.25">
      <c r="B179" s="6"/>
      <c r="C179" s="8"/>
      <c r="D179" s="8"/>
      <c r="E179" s="8"/>
      <c r="F179" s="74"/>
      <c r="G179" s="75"/>
      <c r="H179" s="94"/>
      <c r="I179" s="68"/>
    </row>
    <row r="180" spans="2:9" ht="15.75" thickBot="1" x14ac:dyDescent="0.3">
      <c r="B180" s="128"/>
      <c r="C180" s="128"/>
      <c r="D180" s="106"/>
      <c r="F180" s="45" t="s">
        <v>477</v>
      </c>
    </row>
    <row r="181" spans="2:9" ht="15" customHeight="1" x14ac:dyDescent="0.25">
      <c r="B181" s="128"/>
      <c r="C181" s="128"/>
      <c r="D181" s="106"/>
      <c r="E181" s="129" t="s">
        <v>523</v>
      </c>
      <c r="F181" s="130"/>
      <c r="G181" s="133" t="s">
        <v>508</v>
      </c>
      <c r="H181" s="133"/>
      <c r="I181" s="133"/>
    </row>
    <row r="182" spans="2:9" ht="9.75" customHeight="1" x14ac:dyDescent="0.25">
      <c r="B182" s="128"/>
      <c r="C182" s="128"/>
      <c r="D182" s="106"/>
      <c r="E182" s="131"/>
      <c r="F182" s="132"/>
      <c r="G182" s="108"/>
      <c r="H182" s="108"/>
      <c r="I182" s="108"/>
    </row>
    <row r="183" spans="2:9" ht="15" customHeight="1" x14ac:dyDescent="0.25">
      <c r="B183" s="128"/>
      <c r="C183" s="128"/>
      <c r="D183" s="106"/>
      <c r="E183" s="131"/>
      <c r="F183" s="132"/>
      <c r="G183" s="133" t="s">
        <v>503</v>
      </c>
      <c r="H183" s="133"/>
      <c r="I183" s="133"/>
    </row>
    <row r="184" spans="2:9" ht="9.75" customHeight="1" x14ac:dyDescent="0.25">
      <c r="B184" s="128"/>
      <c r="C184" s="128"/>
      <c r="D184" s="106"/>
      <c r="E184" s="134" t="s">
        <v>522</v>
      </c>
      <c r="F184" s="135"/>
      <c r="G184" s="107"/>
      <c r="H184" s="107"/>
      <c r="I184" s="107"/>
    </row>
    <row r="185" spans="2:9" ht="19.5" customHeight="1" thickBot="1" x14ac:dyDescent="0.3">
      <c r="B185" s="128"/>
      <c r="C185" s="128"/>
      <c r="D185" s="106"/>
      <c r="E185" s="136"/>
      <c r="F185" s="137"/>
      <c r="G185" s="138" t="s">
        <v>502</v>
      </c>
      <c r="H185" s="138"/>
      <c r="I185" s="138"/>
    </row>
    <row r="186" spans="2:9" x14ac:dyDescent="0.25">
      <c r="B186" s="128"/>
      <c r="C186" s="128"/>
      <c r="D186" s="106"/>
      <c r="E186" s="41"/>
      <c r="F186" s="46"/>
      <c r="G186" s="46"/>
      <c r="H186" s="89"/>
      <c r="I186" s="46"/>
    </row>
    <row r="187" spans="2:9" ht="18.75" customHeight="1" x14ac:dyDescent="0.25">
      <c r="B187" s="124" t="s">
        <v>525</v>
      </c>
      <c r="C187" s="124"/>
      <c r="D187" s="125" t="s">
        <v>521</v>
      </c>
      <c r="E187" s="125"/>
      <c r="F187" s="125"/>
      <c r="G187" s="126" t="str">
        <f>(C1)</f>
        <v>Lista N°97 - NOVIEMBRE 2024</v>
      </c>
      <c r="H187" s="126"/>
      <c r="I187" s="126"/>
    </row>
    <row r="188" spans="2:9" ht="21" customHeight="1" x14ac:dyDescent="0.3">
      <c r="B188" s="127" t="s">
        <v>524</v>
      </c>
      <c r="C188" s="127"/>
      <c r="D188" s="125"/>
      <c r="E188" s="125"/>
      <c r="F188" s="125"/>
      <c r="G188" s="126"/>
      <c r="H188" s="126"/>
      <c r="I188" s="126"/>
    </row>
    <row r="189" spans="2:9" s="112" customFormat="1" ht="15.75" customHeight="1" x14ac:dyDescent="0.3">
      <c r="B189" s="109"/>
      <c r="C189" s="109"/>
      <c r="D189" s="110"/>
      <c r="E189" s="110"/>
      <c r="F189" s="110"/>
      <c r="G189" s="111"/>
      <c r="H189" s="111"/>
      <c r="I189" s="111"/>
    </row>
    <row r="190" spans="2:9" ht="21.75" thickBot="1" x14ac:dyDescent="0.4">
      <c r="B190" s="22" t="s">
        <v>494</v>
      </c>
      <c r="G190" s="52" t="s">
        <v>6</v>
      </c>
      <c r="H190" s="52" t="s">
        <v>7</v>
      </c>
      <c r="I190" s="52" t="s">
        <v>461</v>
      </c>
    </row>
    <row r="191" spans="2:9" ht="16.5" thickBot="1" x14ac:dyDescent="0.3">
      <c r="B191" s="12" t="s">
        <v>2</v>
      </c>
      <c r="C191" s="121" t="s">
        <v>3</v>
      </c>
      <c r="D191" s="122"/>
      <c r="E191" s="123"/>
      <c r="F191" s="65" t="s">
        <v>17</v>
      </c>
      <c r="G191" s="83">
        <f>F2</f>
        <v>0</v>
      </c>
      <c r="H191" s="84">
        <f>F3</f>
        <v>0</v>
      </c>
      <c r="I191" s="84">
        <f>F4</f>
        <v>0.05</v>
      </c>
    </row>
    <row r="192" spans="2:9" ht="15.75" x14ac:dyDescent="0.25">
      <c r="B192" s="15">
        <v>810</v>
      </c>
      <c r="C192" s="144" t="s">
        <v>117</v>
      </c>
      <c r="D192" s="161"/>
      <c r="E192" s="145"/>
      <c r="F192" s="56">
        <v>6200</v>
      </c>
      <c r="G192" s="55">
        <f>$G$2*F192</f>
        <v>6200</v>
      </c>
      <c r="H192" s="55">
        <f>$G$3*G192</f>
        <v>6200</v>
      </c>
      <c r="I192" s="55">
        <f>$G$4*H192</f>
        <v>6510</v>
      </c>
    </row>
    <row r="193" spans="2:9" ht="15.75" x14ac:dyDescent="0.25">
      <c r="B193" s="19">
        <v>811</v>
      </c>
      <c r="C193" s="139" t="s">
        <v>118</v>
      </c>
      <c r="D193" s="143"/>
      <c r="E193" s="140"/>
      <c r="F193" s="57">
        <v>7180</v>
      </c>
      <c r="G193" s="55">
        <f>$G$2*F193</f>
        <v>7180</v>
      </c>
      <c r="H193" s="55">
        <f>$G$3*G193</f>
        <v>7180</v>
      </c>
      <c r="I193" s="55">
        <f>$G$4*H193</f>
        <v>7539</v>
      </c>
    </row>
    <row r="194" spans="2:9" ht="16.5" thickBot="1" x14ac:dyDescent="0.3">
      <c r="B194" s="17">
        <v>812</v>
      </c>
      <c r="C194" s="141" t="s">
        <v>119</v>
      </c>
      <c r="D194" s="157"/>
      <c r="E194" s="142"/>
      <c r="F194" s="58">
        <v>8065</v>
      </c>
      <c r="G194" s="55">
        <f>$G$2*F194</f>
        <v>8065</v>
      </c>
      <c r="H194" s="55">
        <f>$G$3*G194</f>
        <v>8065</v>
      </c>
      <c r="I194" s="55">
        <f>$G$4*H194</f>
        <v>8468.25</v>
      </c>
    </row>
    <row r="195" spans="2:9" ht="15.75" x14ac:dyDescent="0.25">
      <c r="B195" s="20"/>
      <c r="C195" s="20"/>
      <c r="D195" s="20"/>
      <c r="E195" s="20"/>
      <c r="F195" s="59"/>
      <c r="G195" s="73"/>
      <c r="H195" s="73"/>
      <c r="I195" s="73"/>
    </row>
    <row r="196" spans="2:9" ht="21.75" thickBot="1" x14ac:dyDescent="0.4">
      <c r="B196" s="22" t="s">
        <v>120</v>
      </c>
      <c r="C196" s="20"/>
      <c r="D196" s="20"/>
      <c r="E196" s="20"/>
      <c r="F196" s="59"/>
      <c r="G196" s="73"/>
      <c r="H196" s="73"/>
      <c r="I196" s="73"/>
    </row>
    <row r="197" spans="2:9" ht="16.5" thickBot="1" x14ac:dyDescent="0.3">
      <c r="B197" s="12" t="s">
        <v>2</v>
      </c>
      <c r="C197" s="121" t="s">
        <v>3</v>
      </c>
      <c r="D197" s="122"/>
      <c r="E197" s="123"/>
      <c r="F197" s="65" t="s">
        <v>17</v>
      </c>
      <c r="G197" s="83">
        <f>F2</f>
        <v>0</v>
      </c>
      <c r="H197" s="84">
        <f>F3</f>
        <v>0</v>
      </c>
      <c r="I197" s="84">
        <f>F4</f>
        <v>0.05</v>
      </c>
    </row>
    <row r="198" spans="2:9" ht="15.75" x14ac:dyDescent="0.25">
      <c r="B198" s="15">
        <v>801</v>
      </c>
      <c r="C198" s="144" t="s">
        <v>121</v>
      </c>
      <c r="D198" s="161"/>
      <c r="E198" s="145"/>
      <c r="F198" s="56">
        <v>13595</v>
      </c>
      <c r="G198" s="55">
        <f>$G$2*F198</f>
        <v>13595</v>
      </c>
      <c r="H198" s="55">
        <f>$G$3*G198</f>
        <v>13595</v>
      </c>
      <c r="I198" s="55">
        <f>$G$4*H198</f>
        <v>14274.75</v>
      </c>
    </row>
    <row r="199" spans="2:9" ht="15.75" x14ac:dyDescent="0.25">
      <c r="B199" s="19">
        <v>802</v>
      </c>
      <c r="C199" s="139" t="s">
        <v>122</v>
      </c>
      <c r="D199" s="143"/>
      <c r="E199" s="140"/>
      <c r="F199" s="57">
        <v>16560</v>
      </c>
      <c r="G199" s="55">
        <f t="shared" ref="G199:G209" si="12">$G$2*F199</f>
        <v>16560</v>
      </c>
      <c r="H199" s="55">
        <f t="shared" ref="H199:H209" si="13">$G$3*G199</f>
        <v>16560</v>
      </c>
      <c r="I199" s="55">
        <f t="shared" ref="I199:I209" si="14">$G$4*H199</f>
        <v>17388</v>
      </c>
    </row>
    <row r="200" spans="2:9" ht="15.75" x14ac:dyDescent="0.25">
      <c r="B200" s="19">
        <v>803</v>
      </c>
      <c r="C200" s="139" t="s">
        <v>123</v>
      </c>
      <c r="D200" s="143"/>
      <c r="E200" s="140"/>
      <c r="F200" s="57">
        <v>23885</v>
      </c>
      <c r="G200" s="55">
        <f t="shared" si="12"/>
        <v>23885</v>
      </c>
      <c r="H200" s="55">
        <f t="shared" si="13"/>
        <v>23885</v>
      </c>
      <c r="I200" s="55">
        <f t="shared" si="14"/>
        <v>25079.25</v>
      </c>
    </row>
    <row r="201" spans="2:9" ht="16.5" thickBot="1" x14ac:dyDescent="0.3">
      <c r="B201" s="17">
        <v>804</v>
      </c>
      <c r="C201" s="141" t="s">
        <v>124</v>
      </c>
      <c r="D201" s="157"/>
      <c r="E201" s="142"/>
      <c r="F201" s="58">
        <v>35175</v>
      </c>
      <c r="G201" s="55">
        <f t="shared" si="12"/>
        <v>35175</v>
      </c>
      <c r="H201" s="55">
        <f t="shared" si="13"/>
        <v>35175</v>
      </c>
      <c r="I201" s="55">
        <f t="shared" si="14"/>
        <v>36933.75</v>
      </c>
    </row>
    <row r="202" spans="2:9" ht="15.75" x14ac:dyDescent="0.25">
      <c r="B202" s="14">
        <v>809</v>
      </c>
      <c r="C202" s="144" t="s">
        <v>125</v>
      </c>
      <c r="D202" s="161"/>
      <c r="E202" s="145"/>
      <c r="F202" s="76">
        <v>3990</v>
      </c>
      <c r="G202" s="55">
        <f t="shared" si="12"/>
        <v>3990</v>
      </c>
      <c r="H202" s="55">
        <f t="shared" si="13"/>
        <v>3990</v>
      </c>
      <c r="I202" s="55">
        <f t="shared" si="14"/>
        <v>4189.5</v>
      </c>
    </row>
    <row r="203" spans="2:9" ht="15.75" x14ac:dyDescent="0.25">
      <c r="B203" s="18">
        <v>813</v>
      </c>
      <c r="C203" s="139" t="s">
        <v>126</v>
      </c>
      <c r="D203" s="143"/>
      <c r="E203" s="140"/>
      <c r="F203" s="62">
        <v>7485</v>
      </c>
      <c r="G203" s="55">
        <f t="shared" si="12"/>
        <v>7485</v>
      </c>
      <c r="H203" s="55">
        <f t="shared" si="13"/>
        <v>7485</v>
      </c>
      <c r="I203" s="55">
        <f t="shared" si="14"/>
        <v>7859.25</v>
      </c>
    </row>
    <row r="204" spans="2:9" ht="15.75" x14ac:dyDescent="0.25">
      <c r="B204" s="18">
        <v>814</v>
      </c>
      <c r="C204" s="139" t="s">
        <v>127</v>
      </c>
      <c r="D204" s="143"/>
      <c r="E204" s="140"/>
      <c r="F204" s="62">
        <v>9355</v>
      </c>
      <c r="G204" s="55">
        <f t="shared" si="12"/>
        <v>9355</v>
      </c>
      <c r="H204" s="55">
        <f t="shared" si="13"/>
        <v>9355</v>
      </c>
      <c r="I204" s="55">
        <f t="shared" si="14"/>
        <v>9822.75</v>
      </c>
    </row>
    <row r="205" spans="2:9" ht="15.75" x14ac:dyDescent="0.25">
      <c r="B205" s="18">
        <v>815</v>
      </c>
      <c r="C205" s="139" t="s">
        <v>128</v>
      </c>
      <c r="D205" s="143"/>
      <c r="E205" s="140"/>
      <c r="F205" s="62">
        <v>12140</v>
      </c>
      <c r="G205" s="55">
        <f t="shared" si="12"/>
        <v>12140</v>
      </c>
      <c r="H205" s="55">
        <f t="shared" si="13"/>
        <v>12140</v>
      </c>
      <c r="I205" s="55">
        <f t="shared" si="14"/>
        <v>12747</v>
      </c>
    </row>
    <row r="206" spans="2:9" ht="15.75" x14ac:dyDescent="0.25">
      <c r="B206" s="18">
        <v>816</v>
      </c>
      <c r="C206" s="139" t="s">
        <v>129</v>
      </c>
      <c r="D206" s="143"/>
      <c r="E206" s="140"/>
      <c r="F206" s="62">
        <v>15435</v>
      </c>
      <c r="G206" s="55">
        <f t="shared" si="12"/>
        <v>15435</v>
      </c>
      <c r="H206" s="55">
        <f t="shared" si="13"/>
        <v>15435</v>
      </c>
      <c r="I206" s="55">
        <f t="shared" si="14"/>
        <v>16206.75</v>
      </c>
    </row>
    <row r="207" spans="2:9" ht="15.75" x14ac:dyDescent="0.25">
      <c r="B207" s="18">
        <v>817</v>
      </c>
      <c r="C207" s="139" t="s">
        <v>130</v>
      </c>
      <c r="D207" s="143"/>
      <c r="E207" s="140"/>
      <c r="F207" s="62">
        <v>21180</v>
      </c>
      <c r="G207" s="55">
        <f t="shared" si="12"/>
        <v>21180</v>
      </c>
      <c r="H207" s="55">
        <f t="shared" si="13"/>
        <v>21180</v>
      </c>
      <c r="I207" s="55">
        <f t="shared" si="14"/>
        <v>22239</v>
      </c>
    </row>
    <row r="208" spans="2:9" ht="15.75" x14ac:dyDescent="0.25">
      <c r="B208" s="18">
        <v>818</v>
      </c>
      <c r="C208" s="139" t="s">
        <v>131</v>
      </c>
      <c r="D208" s="143"/>
      <c r="E208" s="140"/>
      <c r="F208" s="62">
        <v>29450</v>
      </c>
      <c r="G208" s="55">
        <f t="shared" si="12"/>
        <v>29450</v>
      </c>
      <c r="H208" s="55">
        <f t="shared" si="13"/>
        <v>29450</v>
      </c>
      <c r="I208" s="55">
        <f t="shared" si="14"/>
        <v>30922.5</v>
      </c>
    </row>
    <row r="209" spans="2:9" ht="16.5" thickBot="1" x14ac:dyDescent="0.3">
      <c r="B209" s="16">
        <v>819</v>
      </c>
      <c r="C209" s="141" t="s">
        <v>132</v>
      </c>
      <c r="D209" s="157"/>
      <c r="E209" s="142"/>
      <c r="F209" s="63">
        <v>38160</v>
      </c>
      <c r="G209" s="55">
        <f t="shared" si="12"/>
        <v>38160</v>
      </c>
      <c r="H209" s="55">
        <f t="shared" si="13"/>
        <v>38160</v>
      </c>
      <c r="I209" s="55">
        <f t="shared" si="14"/>
        <v>40068</v>
      </c>
    </row>
    <row r="210" spans="2:9" ht="15.75" x14ac:dyDescent="0.25">
      <c r="B210" s="20"/>
      <c r="C210" s="20"/>
      <c r="D210" s="20"/>
      <c r="E210" s="20"/>
      <c r="F210" s="59"/>
      <c r="G210" s="73"/>
      <c r="H210" s="73"/>
      <c r="I210" s="73"/>
    </row>
    <row r="211" spans="2:9" ht="21.75" thickBot="1" x14ac:dyDescent="0.4">
      <c r="B211" s="22" t="s">
        <v>133</v>
      </c>
      <c r="C211" s="20"/>
      <c r="D211" s="20"/>
      <c r="E211" s="20"/>
      <c r="F211" s="59"/>
      <c r="G211" s="73"/>
      <c r="H211" s="73"/>
      <c r="I211" s="73"/>
    </row>
    <row r="212" spans="2:9" ht="16.5" thickBot="1" x14ac:dyDescent="0.3">
      <c r="B212" s="12" t="s">
        <v>2</v>
      </c>
      <c r="C212" s="121" t="s">
        <v>3</v>
      </c>
      <c r="D212" s="122"/>
      <c r="E212" s="123"/>
      <c r="F212" s="65" t="s">
        <v>17</v>
      </c>
      <c r="G212" s="83">
        <f>F2</f>
        <v>0</v>
      </c>
      <c r="H212" s="84">
        <f>F3</f>
        <v>0</v>
      </c>
      <c r="I212" s="84">
        <f>F4</f>
        <v>0.05</v>
      </c>
    </row>
    <row r="213" spans="2:9" ht="15.75" x14ac:dyDescent="0.25">
      <c r="B213" s="15">
        <v>870</v>
      </c>
      <c r="C213" s="144" t="s">
        <v>134</v>
      </c>
      <c r="D213" s="161"/>
      <c r="E213" s="145"/>
      <c r="F213" s="56">
        <v>2385</v>
      </c>
      <c r="G213" s="55">
        <f>$G$2*F213</f>
        <v>2385</v>
      </c>
      <c r="H213" s="55">
        <f>$G$3*G213</f>
        <v>2385</v>
      </c>
      <c r="I213" s="55">
        <f>$G$4*H213</f>
        <v>2504.25</v>
      </c>
    </row>
    <row r="214" spans="2:9" ht="15.75" x14ac:dyDescent="0.25">
      <c r="B214" s="19">
        <v>871</v>
      </c>
      <c r="C214" s="139" t="s">
        <v>135</v>
      </c>
      <c r="D214" s="143"/>
      <c r="E214" s="140"/>
      <c r="F214" s="57">
        <v>2925</v>
      </c>
      <c r="G214" s="55">
        <f>$G$2*F214</f>
        <v>2925</v>
      </c>
      <c r="H214" s="55">
        <f>$G$3*G214</f>
        <v>2925</v>
      </c>
      <c r="I214" s="55">
        <f>$G$4*H214</f>
        <v>3071.25</v>
      </c>
    </row>
    <row r="215" spans="2:9" ht="16.5" thickBot="1" x14ac:dyDescent="0.3">
      <c r="B215" s="17">
        <v>872</v>
      </c>
      <c r="C215" s="141" t="s">
        <v>136</v>
      </c>
      <c r="D215" s="157"/>
      <c r="E215" s="142"/>
      <c r="F215" s="58">
        <v>4595</v>
      </c>
      <c r="G215" s="55">
        <f>$G$2*F215</f>
        <v>4595</v>
      </c>
      <c r="H215" s="55">
        <f>$G$3*G215</f>
        <v>4595</v>
      </c>
      <c r="I215" s="55">
        <f>$G$4*H215</f>
        <v>4824.75</v>
      </c>
    </row>
    <row r="216" spans="2:9" ht="15.75" x14ac:dyDescent="0.25">
      <c r="B216" s="20"/>
      <c r="C216" s="20"/>
      <c r="D216" s="20"/>
      <c r="E216" s="20"/>
      <c r="F216" s="59"/>
      <c r="G216" s="73"/>
      <c r="H216" s="73"/>
      <c r="I216" s="73"/>
    </row>
    <row r="217" spans="2:9" ht="21.75" thickBot="1" x14ac:dyDescent="0.4">
      <c r="B217" s="22" t="s">
        <v>137</v>
      </c>
      <c r="C217" s="20"/>
      <c r="D217" s="20"/>
      <c r="E217" s="20"/>
      <c r="F217" s="59"/>
      <c r="G217" s="73"/>
      <c r="H217" s="73"/>
      <c r="I217" s="73"/>
    </row>
    <row r="218" spans="2:9" ht="16.5" thickBot="1" x14ac:dyDescent="0.3">
      <c r="B218" s="12" t="s">
        <v>2</v>
      </c>
      <c r="C218" s="121" t="s">
        <v>3</v>
      </c>
      <c r="D218" s="122"/>
      <c r="E218" s="123"/>
      <c r="F218" s="65" t="s">
        <v>17</v>
      </c>
      <c r="G218" s="83">
        <f>F2</f>
        <v>0</v>
      </c>
      <c r="H218" s="84">
        <f>F3</f>
        <v>0</v>
      </c>
      <c r="I218" s="84">
        <f>F4</f>
        <v>0.05</v>
      </c>
    </row>
    <row r="219" spans="2:9" ht="15.75" x14ac:dyDescent="0.25">
      <c r="B219" s="15">
        <v>960</v>
      </c>
      <c r="C219" s="144" t="s">
        <v>138</v>
      </c>
      <c r="D219" s="161"/>
      <c r="E219" s="145"/>
      <c r="F219" s="56">
        <v>8200</v>
      </c>
      <c r="G219" s="55">
        <f t="shared" ref="G219:G226" si="15">$G$2*F219</f>
        <v>8200</v>
      </c>
      <c r="H219" s="55">
        <f t="shared" ref="H219:H226" si="16">$G$3*G219</f>
        <v>8200</v>
      </c>
      <c r="I219" s="55">
        <f t="shared" ref="I219:I226" si="17">$G$4*H219</f>
        <v>8610</v>
      </c>
    </row>
    <row r="220" spans="2:9" ht="15.75" x14ac:dyDescent="0.25">
      <c r="B220" s="19">
        <v>961</v>
      </c>
      <c r="C220" s="139" t="s">
        <v>139</v>
      </c>
      <c r="D220" s="143"/>
      <c r="E220" s="140"/>
      <c r="F220" s="57">
        <v>14735</v>
      </c>
      <c r="G220" s="55">
        <f t="shared" si="15"/>
        <v>14735</v>
      </c>
      <c r="H220" s="55">
        <f t="shared" si="16"/>
        <v>14735</v>
      </c>
      <c r="I220" s="55">
        <f t="shared" si="17"/>
        <v>15471.75</v>
      </c>
    </row>
    <row r="221" spans="2:9" ht="15.75" x14ac:dyDescent="0.25">
      <c r="B221" s="19">
        <v>962</v>
      </c>
      <c r="C221" s="139" t="s">
        <v>140</v>
      </c>
      <c r="D221" s="143"/>
      <c r="E221" s="140"/>
      <c r="F221" s="57">
        <v>17010</v>
      </c>
      <c r="G221" s="55">
        <f t="shared" si="15"/>
        <v>17010</v>
      </c>
      <c r="H221" s="55">
        <f t="shared" si="16"/>
        <v>17010</v>
      </c>
      <c r="I221" s="55">
        <f t="shared" si="17"/>
        <v>17860.5</v>
      </c>
    </row>
    <row r="222" spans="2:9" ht="15.75" x14ac:dyDescent="0.25">
      <c r="B222" s="19">
        <v>963</v>
      </c>
      <c r="C222" s="139" t="s">
        <v>141</v>
      </c>
      <c r="D222" s="143"/>
      <c r="E222" s="140"/>
      <c r="F222" s="57">
        <v>25360</v>
      </c>
      <c r="G222" s="55">
        <f t="shared" si="15"/>
        <v>25360</v>
      </c>
      <c r="H222" s="55">
        <f t="shared" si="16"/>
        <v>25360</v>
      </c>
      <c r="I222" s="55">
        <f t="shared" si="17"/>
        <v>26628</v>
      </c>
    </row>
    <row r="223" spans="2:9" ht="15.75" x14ac:dyDescent="0.25">
      <c r="B223" s="19">
        <v>964</v>
      </c>
      <c r="C223" s="139" t="s">
        <v>142</v>
      </c>
      <c r="D223" s="143"/>
      <c r="E223" s="140"/>
      <c r="F223" s="57">
        <v>28350</v>
      </c>
      <c r="G223" s="55">
        <f t="shared" si="15"/>
        <v>28350</v>
      </c>
      <c r="H223" s="55">
        <f t="shared" si="16"/>
        <v>28350</v>
      </c>
      <c r="I223" s="55">
        <f t="shared" si="17"/>
        <v>29767.5</v>
      </c>
    </row>
    <row r="224" spans="2:9" ht="15.75" x14ac:dyDescent="0.25">
      <c r="B224" s="19">
        <v>955</v>
      </c>
      <c r="C224" s="139" t="s">
        <v>473</v>
      </c>
      <c r="D224" s="143"/>
      <c r="E224" s="140"/>
      <c r="F224" s="57">
        <v>26435</v>
      </c>
      <c r="G224" s="55">
        <f t="shared" si="15"/>
        <v>26435</v>
      </c>
      <c r="H224" s="55">
        <f t="shared" si="16"/>
        <v>26435</v>
      </c>
      <c r="I224" s="55">
        <f t="shared" si="17"/>
        <v>27756.75</v>
      </c>
    </row>
    <row r="225" spans="2:9" ht="15.75" x14ac:dyDescent="0.25">
      <c r="B225" s="19">
        <v>956</v>
      </c>
      <c r="C225" s="139" t="s">
        <v>474</v>
      </c>
      <c r="D225" s="143"/>
      <c r="E225" s="140"/>
      <c r="F225" s="57">
        <v>30800</v>
      </c>
      <c r="G225" s="55">
        <f t="shared" si="15"/>
        <v>30800</v>
      </c>
      <c r="H225" s="55">
        <f t="shared" si="16"/>
        <v>30800</v>
      </c>
      <c r="I225" s="55">
        <f t="shared" si="17"/>
        <v>32340</v>
      </c>
    </row>
    <row r="226" spans="2:9" ht="16.5" thickBot="1" x14ac:dyDescent="0.3">
      <c r="B226" s="17">
        <v>959</v>
      </c>
      <c r="C226" s="141" t="s">
        <v>143</v>
      </c>
      <c r="D226" s="157"/>
      <c r="E226" s="142"/>
      <c r="F226" s="58">
        <v>38925</v>
      </c>
      <c r="G226" s="55">
        <f t="shared" si="15"/>
        <v>38925</v>
      </c>
      <c r="H226" s="55">
        <f t="shared" si="16"/>
        <v>38925</v>
      </c>
      <c r="I226" s="55">
        <f t="shared" si="17"/>
        <v>40871.25</v>
      </c>
    </row>
    <row r="227" spans="2:9" ht="15.75" x14ac:dyDescent="0.25">
      <c r="B227" s="20"/>
      <c r="C227" s="20"/>
      <c r="D227" s="20"/>
      <c r="E227" s="20"/>
      <c r="F227" s="59"/>
      <c r="G227" s="73"/>
      <c r="H227" s="73"/>
      <c r="I227" s="73"/>
    </row>
    <row r="228" spans="2:9" ht="21.75" thickBot="1" x14ac:dyDescent="0.4">
      <c r="B228" s="22" t="s">
        <v>144</v>
      </c>
      <c r="C228" s="20"/>
      <c r="D228" s="20"/>
      <c r="E228" s="20"/>
      <c r="F228" s="59"/>
      <c r="G228" s="73"/>
      <c r="H228" s="73"/>
      <c r="I228" s="73"/>
    </row>
    <row r="229" spans="2:9" ht="16.5" thickBot="1" x14ac:dyDescent="0.3">
      <c r="B229" s="12" t="s">
        <v>2</v>
      </c>
      <c r="C229" s="121" t="s">
        <v>3</v>
      </c>
      <c r="D229" s="122"/>
      <c r="E229" s="123"/>
      <c r="F229" s="65" t="s">
        <v>17</v>
      </c>
      <c r="G229" s="83">
        <f>F2</f>
        <v>0</v>
      </c>
      <c r="H229" s="84">
        <f>F3</f>
        <v>0</v>
      </c>
      <c r="I229" s="84">
        <f>F4</f>
        <v>0.05</v>
      </c>
    </row>
    <row r="230" spans="2:9" ht="15.75" x14ac:dyDescent="0.25">
      <c r="B230" s="15">
        <v>965</v>
      </c>
      <c r="C230" s="144" t="s">
        <v>136</v>
      </c>
      <c r="D230" s="161"/>
      <c r="E230" s="145"/>
      <c r="F230" s="56">
        <v>9475</v>
      </c>
      <c r="G230" s="55">
        <f>$G$2*F230</f>
        <v>9475</v>
      </c>
      <c r="H230" s="55">
        <f>$G$3*G230</f>
        <v>9475</v>
      </c>
      <c r="I230" s="55">
        <f>$G$4*H230</f>
        <v>9948.75</v>
      </c>
    </row>
    <row r="231" spans="2:9" ht="15.75" x14ac:dyDescent="0.25">
      <c r="B231" s="19">
        <v>966</v>
      </c>
      <c r="C231" s="139" t="s">
        <v>145</v>
      </c>
      <c r="D231" s="143"/>
      <c r="E231" s="140"/>
      <c r="F231" s="57">
        <v>11900</v>
      </c>
      <c r="G231" s="55">
        <f>$G$2*F231</f>
        <v>11900</v>
      </c>
      <c r="H231" s="55">
        <f>$G$3*G231</f>
        <v>11900</v>
      </c>
      <c r="I231" s="55">
        <f>$G$4*H231</f>
        <v>12495</v>
      </c>
    </row>
    <row r="232" spans="2:9" ht="15.75" x14ac:dyDescent="0.25">
      <c r="B232" s="19">
        <v>967</v>
      </c>
      <c r="C232" s="139" t="s">
        <v>76</v>
      </c>
      <c r="D232" s="143"/>
      <c r="E232" s="140"/>
      <c r="F232" s="57">
        <v>14260</v>
      </c>
      <c r="G232" s="55">
        <f>$G$2*F232</f>
        <v>14260</v>
      </c>
      <c r="H232" s="55">
        <f>$G$3*G232</f>
        <v>14260</v>
      </c>
      <c r="I232" s="55">
        <f>$G$4*H232</f>
        <v>14973</v>
      </c>
    </row>
    <row r="233" spans="2:9" ht="16.5" thickBot="1" x14ac:dyDescent="0.3">
      <c r="B233" s="17">
        <v>969</v>
      </c>
      <c r="C233" s="141" t="s">
        <v>146</v>
      </c>
      <c r="D233" s="157"/>
      <c r="E233" s="142"/>
      <c r="F233" s="58">
        <v>22920</v>
      </c>
      <c r="G233" s="55">
        <f>$G$2*F233</f>
        <v>22920</v>
      </c>
      <c r="H233" s="55">
        <f>$G$3*G233</f>
        <v>22920</v>
      </c>
      <c r="I233" s="55">
        <f>$G$4*H233</f>
        <v>24066</v>
      </c>
    </row>
    <row r="234" spans="2:9" ht="15.75" x14ac:dyDescent="0.25">
      <c r="B234" s="20"/>
      <c r="C234" s="20"/>
      <c r="D234" s="20"/>
      <c r="E234" s="20"/>
      <c r="F234" s="59"/>
      <c r="G234" s="73"/>
      <c r="H234" s="73"/>
      <c r="I234" s="73"/>
    </row>
    <row r="235" spans="2:9" ht="21.75" thickBot="1" x14ac:dyDescent="0.4">
      <c r="B235" s="22" t="s">
        <v>147</v>
      </c>
      <c r="C235" s="20"/>
      <c r="D235" s="20"/>
      <c r="E235" s="20"/>
      <c r="F235" s="59"/>
      <c r="G235" s="73"/>
      <c r="H235" s="73"/>
      <c r="I235" s="73"/>
    </row>
    <row r="236" spans="2:9" ht="16.5" thickBot="1" x14ac:dyDescent="0.3">
      <c r="B236" s="12" t="s">
        <v>2</v>
      </c>
      <c r="C236" s="121" t="s">
        <v>3</v>
      </c>
      <c r="D236" s="122"/>
      <c r="E236" s="123"/>
      <c r="F236" s="65" t="s">
        <v>17</v>
      </c>
      <c r="G236" s="83">
        <f>F2</f>
        <v>0</v>
      </c>
      <c r="H236" s="84">
        <f>F3</f>
        <v>0</v>
      </c>
      <c r="I236" s="84">
        <f>F4</f>
        <v>0.05</v>
      </c>
    </row>
    <row r="237" spans="2:9" ht="16.5" thickBot="1" x14ac:dyDescent="0.3">
      <c r="B237" s="12">
        <v>968</v>
      </c>
      <c r="C237" s="121" t="s">
        <v>148</v>
      </c>
      <c r="D237" s="122"/>
      <c r="E237" s="123"/>
      <c r="F237" s="65">
        <v>6610</v>
      </c>
      <c r="G237" s="55">
        <f>$G$2*F237</f>
        <v>6610</v>
      </c>
      <c r="H237" s="55">
        <f>$G$3*G237</f>
        <v>6610</v>
      </c>
      <c r="I237" s="55">
        <f>$G$4*H237</f>
        <v>6940.5</v>
      </c>
    </row>
    <row r="238" spans="2:9" ht="15.75" x14ac:dyDescent="0.25">
      <c r="B238" s="20"/>
      <c r="C238" s="20"/>
      <c r="D238" s="20"/>
      <c r="E238" s="20"/>
      <c r="F238" s="59"/>
      <c r="G238" s="73"/>
      <c r="H238" s="73"/>
      <c r="I238" s="73"/>
    </row>
    <row r="239" spans="2:9" ht="21.75" thickBot="1" x14ac:dyDescent="0.4">
      <c r="B239" s="22" t="s">
        <v>149</v>
      </c>
      <c r="C239" s="20"/>
      <c r="D239" s="20"/>
      <c r="E239" s="20"/>
      <c r="F239" s="59"/>
      <c r="G239" s="73"/>
      <c r="H239" s="73"/>
      <c r="I239" s="73"/>
    </row>
    <row r="240" spans="2:9" ht="16.5" thickBot="1" x14ac:dyDescent="0.3">
      <c r="B240" s="12" t="s">
        <v>2</v>
      </c>
      <c r="C240" s="121" t="s">
        <v>3</v>
      </c>
      <c r="D240" s="122"/>
      <c r="E240" s="123"/>
      <c r="F240" s="65" t="s">
        <v>17</v>
      </c>
      <c r="G240" s="83">
        <f>F2</f>
        <v>0</v>
      </c>
      <c r="H240" s="84">
        <f>F3</f>
        <v>0</v>
      </c>
      <c r="I240" s="84">
        <f>F4</f>
        <v>0.05</v>
      </c>
    </row>
    <row r="241" spans="2:9" ht="15.75" x14ac:dyDescent="0.25">
      <c r="B241" s="15">
        <v>820</v>
      </c>
      <c r="C241" s="144" t="s">
        <v>150</v>
      </c>
      <c r="D241" s="161"/>
      <c r="E241" s="145"/>
      <c r="F241" s="56">
        <v>5340</v>
      </c>
      <c r="G241" s="55">
        <f>$G$2*F241</f>
        <v>5340</v>
      </c>
      <c r="H241" s="55">
        <f>$G$3*G241</f>
        <v>5340</v>
      </c>
      <c r="I241" s="55">
        <f>$G$4*H241</f>
        <v>5607</v>
      </c>
    </row>
    <row r="242" spans="2:9" ht="15.75" x14ac:dyDescent="0.25">
      <c r="B242" s="19">
        <v>821</v>
      </c>
      <c r="C242" s="139" t="s">
        <v>151</v>
      </c>
      <c r="D242" s="143"/>
      <c r="E242" s="140"/>
      <c r="F242" s="57">
        <v>6045</v>
      </c>
      <c r="G242" s="55">
        <f>$G$2*F242</f>
        <v>6045</v>
      </c>
      <c r="H242" s="55">
        <f>$G$3*G242</f>
        <v>6045</v>
      </c>
      <c r="I242" s="55">
        <f>$G$4*H242</f>
        <v>6347.25</v>
      </c>
    </row>
    <row r="243" spans="2:9" ht="15.75" x14ac:dyDescent="0.25">
      <c r="B243" s="19">
        <v>822</v>
      </c>
      <c r="C243" s="139" t="s">
        <v>152</v>
      </c>
      <c r="D243" s="143"/>
      <c r="E243" s="140"/>
      <c r="F243" s="57">
        <v>8335</v>
      </c>
      <c r="G243" s="55">
        <f>$G$2*F243</f>
        <v>8335</v>
      </c>
      <c r="H243" s="55">
        <f>$G$3*G243</f>
        <v>8335</v>
      </c>
      <c r="I243" s="55">
        <f>$G$4*H243</f>
        <v>8751.75</v>
      </c>
    </row>
    <row r="244" spans="2:9" ht="16.5" thickBot="1" x14ac:dyDescent="0.3">
      <c r="B244" s="17">
        <v>823</v>
      </c>
      <c r="C244" s="141" t="s">
        <v>153</v>
      </c>
      <c r="D244" s="157"/>
      <c r="E244" s="142"/>
      <c r="F244" s="58">
        <v>10050</v>
      </c>
      <c r="G244" s="55">
        <f>$G$2*F244</f>
        <v>10050</v>
      </c>
      <c r="H244" s="55">
        <f>$G$3*G244</f>
        <v>10050</v>
      </c>
      <c r="I244" s="55">
        <f>$G$4*H244</f>
        <v>10552.5</v>
      </c>
    </row>
    <row r="245" spans="2:9" ht="15.75" x14ac:dyDescent="0.25">
      <c r="B245" s="20"/>
      <c r="C245" s="20"/>
      <c r="D245" s="20"/>
      <c r="E245" s="20"/>
      <c r="F245" s="59"/>
      <c r="G245" s="73"/>
      <c r="H245" s="73"/>
      <c r="I245" s="73"/>
    </row>
    <row r="246" spans="2:9" ht="21.75" thickBot="1" x14ac:dyDescent="0.4">
      <c r="B246" s="22" t="s">
        <v>154</v>
      </c>
      <c r="C246" s="20"/>
      <c r="D246" s="20"/>
      <c r="E246" s="20"/>
      <c r="F246" s="59"/>
      <c r="G246" s="73"/>
      <c r="H246" s="73"/>
      <c r="I246" s="73"/>
    </row>
    <row r="247" spans="2:9" ht="16.5" thickBot="1" x14ac:dyDescent="0.3">
      <c r="B247" s="12" t="s">
        <v>2</v>
      </c>
      <c r="C247" s="121" t="s">
        <v>3</v>
      </c>
      <c r="D247" s="122"/>
      <c r="E247" s="123"/>
      <c r="F247" s="65" t="s">
        <v>17</v>
      </c>
      <c r="G247" s="83">
        <f>F2</f>
        <v>0</v>
      </c>
      <c r="H247" s="84">
        <f>F3</f>
        <v>0</v>
      </c>
      <c r="I247" s="84">
        <f>F4</f>
        <v>0.05</v>
      </c>
    </row>
    <row r="248" spans="2:9" ht="15.75" x14ac:dyDescent="0.25">
      <c r="B248" s="15">
        <v>852</v>
      </c>
      <c r="C248" s="144" t="s">
        <v>491</v>
      </c>
      <c r="D248" s="161"/>
      <c r="E248" s="145"/>
      <c r="F248" s="56">
        <v>7470</v>
      </c>
      <c r="G248" s="55">
        <f t="shared" ref="G248:G253" si="18">$G$2*F248</f>
        <v>7470</v>
      </c>
      <c r="H248" s="55">
        <f t="shared" ref="H248:H253" si="19">$G$3*G248</f>
        <v>7470</v>
      </c>
      <c r="I248" s="55">
        <f t="shared" ref="I248:I253" si="20">$G$4*H248</f>
        <v>7843.5</v>
      </c>
    </row>
    <row r="249" spans="2:9" ht="15.75" x14ac:dyDescent="0.25">
      <c r="B249" s="19">
        <v>853</v>
      </c>
      <c r="C249" s="139" t="s">
        <v>492</v>
      </c>
      <c r="D249" s="143"/>
      <c r="E249" s="140"/>
      <c r="F249" s="57">
        <v>14760</v>
      </c>
      <c r="G249" s="55">
        <f t="shared" si="18"/>
        <v>14760</v>
      </c>
      <c r="H249" s="55">
        <f t="shared" si="19"/>
        <v>14760</v>
      </c>
      <c r="I249" s="55">
        <f t="shared" si="20"/>
        <v>15498</v>
      </c>
    </row>
    <row r="250" spans="2:9" ht="15.75" x14ac:dyDescent="0.25">
      <c r="B250" s="19">
        <v>854</v>
      </c>
      <c r="C250" s="139" t="s">
        <v>493</v>
      </c>
      <c r="D250" s="143"/>
      <c r="E250" s="140"/>
      <c r="F250" s="57">
        <v>27190</v>
      </c>
      <c r="G250" s="55">
        <f t="shared" si="18"/>
        <v>27190</v>
      </c>
      <c r="H250" s="55">
        <f t="shared" si="19"/>
        <v>27190</v>
      </c>
      <c r="I250" s="55">
        <f t="shared" si="20"/>
        <v>28549.5</v>
      </c>
    </row>
    <row r="251" spans="2:9" ht="15.75" x14ac:dyDescent="0.25">
      <c r="B251" s="19">
        <v>861</v>
      </c>
      <c r="C251" s="139" t="s">
        <v>155</v>
      </c>
      <c r="D251" s="143"/>
      <c r="E251" s="140"/>
      <c r="F251" s="57">
        <v>7400</v>
      </c>
      <c r="G251" s="55">
        <f t="shared" si="18"/>
        <v>7400</v>
      </c>
      <c r="H251" s="55">
        <f t="shared" si="19"/>
        <v>7400</v>
      </c>
      <c r="I251" s="55">
        <f t="shared" si="20"/>
        <v>7770</v>
      </c>
    </row>
    <row r="252" spans="2:9" ht="15.75" x14ac:dyDescent="0.25">
      <c r="B252" s="19">
        <v>862</v>
      </c>
      <c r="C252" s="139" t="s">
        <v>156</v>
      </c>
      <c r="D252" s="143"/>
      <c r="E252" s="140"/>
      <c r="F252" s="57">
        <v>12670</v>
      </c>
      <c r="G252" s="55">
        <f t="shared" si="18"/>
        <v>12670</v>
      </c>
      <c r="H252" s="55">
        <f t="shared" si="19"/>
        <v>12670</v>
      </c>
      <c r="I252" s="55">
        <f t="shared" si="20"/>
        <v>13303.5</v>
      </c>
    </row>
    <row r="253" spans="2:9" ht="16.5" thickBot="1" x14ac:dyDescent="0.3">
      <c r="B253" s="17">
        <v>863</v>
      </c>
      <c r="C253" s="141" t="s">
        <v>157</v>
      </c>
      <c r="D253" s="157"/>
      <c r="E253" s="142"/>
      <c r="F253" s="58">
        <v>21730</v>
      </c>
      <c r="G253" s="55">
        <f t="shared" si="18"/>
        <v>21730</v>
      </c>
      <c r="H253" s="55">
        <f t="shared" si="19"/>
        <v>21730</v>
      </c>
      <c r="I253" s="55">
        <f t="shared" si="20"/>
        <v>22816.5</v>
      </c>
    </row>
    <row r="254" spans="2:9" ht="15.75" x14ac:dyDescent="0.25">
      <c r="B254" s="114"/>
      <c r="C254" s="114"/>
      <c r="D254" s="114"/>
      <c r="E254" s="114"/>
      <c r="F254" s="69"/>
      <c r="G254" s="70"/>
      <c r="H254" s="70"/>
      <c r="I254" s="70"/>
    </row>
    <row r="255" spans="2:9" ht="15.75" x14ac:dyDescent="0.25">
      <c r="B255" s="114"/>
      <c r="C255" s="114"/>
      <c r="D255" s="114"/>
      <c r="E255" s="114"/>
      <c r="F255" s="69"/>
      <c r="G255" s="70"/>
      <c r="H255" s="70"/>
      <c r="I255" s="70"/>
    </row>
    <row r="256" spans="2:9" ht="15.75" x14ac:dyDescent="0.25">
      <c r="B256" s="114"/>
      <c r="C256" s="114"/>
      <c r="D256" s="114"/>
      <c r="E256" s="114"/>
      <c r="F256" s="69"/>
      <c r="G256" s="70"/>
      <c r="H256" s="70"/>
      <c r="I256" s="70"/>
    </row>
    <row r="257" spans="2:9" ht="15.75" x14ac:dyDescent="0.25">
      <c r="B257" s="114"/>
      <c r="C257" s="114"/>
      <c r="D257" s="114"/>
      <c r="E257" s="114"/>
      <c r="F257" s="69"/>
      <c r="G257" s="70"/>
      <c r="H257" s="70"/>
      <c r="I257" s="70"/>
    </row>
    <row r="258" spans="2:9" ht="15.75" x14ac:dyDescent="0.25">
      <c r="B258" s="114"/>
      <c r="C258" s="114"/>
      <c r="D258" s="114"/>
      <c r="E258" s="114"/>
      <c r="F258" s="69"/>
      <c r="G258" s="70"/>
      <c r="H258" s="70"/>
      <c r="I258" s="70"/>
    </row>
    <row r="259" spans="2:9" ht="15.75" x14ac:dyDescent="0.25">
      <c r="B259" s="114"/>
      <c r="C259" s="114"/>
      <c r="D259" s="114"/>
      <c r="E259" s="114"/>
      <c r="F259" s="69"/>
      <c r="G259" s="70"/>
      <c r="H259" s="70"/>
      <c r="I259" s="70"/>
    </row>
    <row r="260" spans="2:9" ht="15.75" x14ac:dyDescent="0.25">
      <c r="B260" s="114"/>
      <c r="C260" s="114"/>
      <c r="D260" s="114"/>
      <c r="E260" s="114"/>
      <c r="F260" s="69"/>
      <c r="G260" s="70"/>
      <c r="H260" s="70"/>
      <c r="I260" s="70"/>
    </row>
    <row r="261" spans="2:9" ht="15.75" x14ac:dyDescent="0.25">
      <c r="B261" s="114"/>
      <c r="C261" s="114"/>
      <c r="D261" s="114"/>
      <c r="E261" s="114"/>
      <c r="F261" s="69"/>
      <c r="G261" s="70"/>
      <c r="H261" s="70"/>
      <c r="I261" s="70"/>
    </row>
    <row r="262" spans="2:9" ht="15.75" x14ac:dyDescent="0.25">
      <c r="B262" s="114"/>
      <c r="C262" s="114"/>
      <c r="D262" s="114"/>
      <c r="E262" s="114"/>
      <c r="F262" s="69"/>
      <c r="G262" s="70"/>
      <c r="H262" s="70"/>
      <c r="I262" s="70"/>
    </row>
    <row r="263" spans="2:9" ht="15.75" x14ac:dyDescent="0.25">
      <c r="B263" s="114"/>
      <c r="C263" s="114"/>
      <c r="D263" s="114"/>
      <c r="E263" s="114"/>
      <c r="F263" s="69"/>
      <c r="G263" s="70"/>
      <c r="H263" s="70"/>
      <c r="I263" s="70"/>
    </row>
    <row r="264" spans="2:9" ht="15.75" x14ac:dyDescent="0.25">
      <c r="B264" s="114"/>
      <c r="C264" s="114"/>
      <c r="D264" s="114"/>
      <c r="E264" s="114"/>
      <c r="F264" s="69"/>
      <c r="G264" s="70"/>
      <c r="H264" s="70"/>
      <c r="I264" s="70"/>
    </row>
    <row r="265" spans="2:9" ht="15.75" x14ac:dyDescent="0.25">
      <c r="B265" s="114"/>
      <c r="C265" s="114"/>
      <c r="D265" s="114"/>
      <c r="E265" s="114"/>
      <c r="F265" s="69"/>
      <c r="G265" s="70"/>
      <c r="H265" s="70"/>
      <c r="I265" s="70"/>
    </row>
    <row r="266" spans="2:9" ht="15.75" x14ac:dyDescent="0.25">
      <c r="B266" s="114"/>
      <c r="C266" s="114"/>
      <c r="D266" s="114"/>
      <c r="E266" s="114"/>
      <c r="F266" s="69"/>
      <c r="G266" s="70"/>
      <c r="H266" s="70"/>
      <c r="I266" s="70"/>
    </row>
    <row r="267" spans="2:9" ht="15.75" thickBot="1" x14ac:dyDescent="0.3">
      <c r="B267" s="3"/>
      <c r="C267" s="3"/>
      <c r="D267" s="3"/>
      <c r="E267" s="3"/>
      <c r="F267" s="66"/>
      <c r="G267" s="67"/>
      <c r="H267" s="92"/>
      <c r="I267" s="67"/>
    </row>
    <row r="268" spans="2:9" ht="15.75" thickTop="1" x14ac:dyDescent="0.25">
      <c r="B268" s="6">
        <v>0.375</v>
      </c>
      <c r="C268" s="188" t="s">
        <v>64</v>
      </c>
      <c r="D268" s="188"/>
      <c r="E268" s="188"/>
      <c r="F268" s="188"/>
      <c r="G268" s="188"/>
      <c r="H268" s="188"/>
      <c r="I268" s="88" t="s">
        <v>497</v>
      </c>
    </row>
    <row r="269" spans="2:9" x14ac:dyDescent="0.25">
      <c r="B269" s="6"/>
      <c r="C269" s="8"/>
      <c r="D269" s="8"/>
      <c r="E269" s="8"/>
      <c r="F269" s="74"/>
      <c r="G269" s="75"/>
      <c r="H269" s="94"/>
      <c r="I269" s="68"/>
    </row>
    <row r="270" spans="2:9" ht="15.75" thickBot="1" x14ac:dyDescent="0.3">
      <c r="B270" s="128"/>
      <c r="C270" s="128"/>
      <c r="D270" s="106"/>
      <c r="F270" s="45" t="s">
        <v>477</v>
      </c>
    </row>
    <row r="271" spans="2:9" ht="15" customHeight="1" x14ac:dyDescent="0.25">
      <c r="B271" s="128"/>
      <c r="C271" s="128"/>
      <c r="D271" s="106"/>
      <c r="E271" s="129" t="s">
        <v>523</v>
      </c>
      <c r="F271" s="130"/>
      <c r="G271" s="133" t="s">
        <v>508</v>
      </c>
      <c r="H271" s="133"/>
      <c r="I271" s="133"/>
    </row>
    <row r="272" spans="2:9" ht="9.75" customHeight="1" x14ac:dyDescent="0.25">
      <c r="B272" s="128"/>
      <c r="C272" s="128"/>
      <c r="D272" s="106"/>
      <c r="E272" s="131"/>
      <c r="F272" s="132"/>
      <c r="G272" s="108"/>
      <c r="H272" s="108"/>
      <c r="I272" s="108"/>
    </row>
    <row r="273" spans="2:9" ht="15" customHeight="1" x14ac:dyDescent="0.25">
      <c r="B273" s="128"/>
      <c r="C273" s="128"/>
      <c r="D273" s="106"/>
      <c r="E273" s="131"/>
      <c r="F273" s="132"/>
      <c r="G273" s="133" t="s">
        <v>503</v>
      </c>
      <c r="H273" s="133"/>
      <c r="I273" s="133"/>
    </row>
    <row r="274" spans="2:9" ht="9.75" customHeight="1" x14ac:dyDescent="0.25">
      <c r="B274" s="128"/>
      <c r="C274" s="128"/>
      <c r="D274" s="106"/>
      <c r="E274" s="134" t="s">
        <v>522</v>
      </c>
      <c r="F274" s="135"/>
      <c r="G274" s="107"/>
      <c r="H274" s="107"/>
      <c r="I274" s="107"/>
    </row>
    <row r="275" spans="2:9" ht="19.5" customHeight="1" thickBot="1" x14ac:dyDescent="0.3">
      <c r="B275" s="128"/>
      <c r="C275" s="128"/>
      <c r="D275" s="106"/>
      <c r="E275" s="136"/>
      <c r="F275" s="137"/>
      <c r="G275" s="138" t="s">
        <v>502</v>
      </c>
      <c r="H275" s="138"/>
      <c r="I275" s="138"/>
    </row>
    <row r="276" spans="2:9" x14ac:dyDescent="0.25">
      <c r="B276" s="128"/>
      <c r="C276" s="128"/>
      <c r="D276" s="106"/>
      <c r="E276" s="41"/>
      <c r="F276" s="46"/>
      <c r="G276" s="46"/>
      <c r="H276" s="89"/>
      <c r="I276" s="46"/>
    </row>
    <row r="277" spans="2:9" ht="18.75" customHeight="1" x14ac:dyDescent="0.25">
      <c r="B277" s="124" t="s">
        <v>525</v>
      </c>
      <c r="C277" s="124"/>
      <c r="D277" s="125" t="s">
        <v>521</v>
      </c>
      <c r="E277" s="125"/>
      <c r="F277" s="125"/>
      <c r="G277" s="126" t="str">
        <f>(C1)</f>
        <v>Lista N°97 - NOVIEMBRE 2024</v>
      </c>
      <c r="H277" s="126"/>
      <c r="I277" s="126"/>
    </row>
    <row r="278" spans="2:9" ht="21" customHeight="1" x14ac:dyDescent="0.3">
      <c r="B278" s="127" t="s">
        <v>524</v>
      </c>
      <c r="C278" s="127"/>
      <c r="D278" s="125"/>
      <c r="E278" s="125"/>
      <c r="F278" s="125"/>
      <c r="G278" s="126"/>
      <c r="H278" s="126"/>
      <c r="I278" s="126"/>
    </row>
    <row r="279" spans="2:9" s="112" customFormat="1" ht="15.75" customHeight="1" x14ac:dyDescent="0.3">
      <c r="B279" s="109"/>
      <c r="C279" s="109"/>
      <c r="D279" s="110"/>
      <c r="E279" s="110"/>
      <c r="F279" s="110"/>
      <c r="G279" s="111"/>
      <c r="H279" s="111"/>
      <c r="I279" s="111"/>
    </row>
    <row r="280" spans="2:9" ht="21.75" thickBot="1" x14ac:dyDescent="0.4">
      <c r="B280" s="22" t="s">
        <v>166</v>
      </c>
      <c r="G280" s="52" t="s">
        <v>6</v>
      </c>
      <c r="H280" s="52" t="s">
        <v>7</v>
      </c>
      <c r="I280" s="52" t="s">
        <v>461</v>
      </c>
    </row>
    <row r="281" spans="2:9" ht="16.5" thickBot="1" x14ac:dyDescent="0.3">
      <c r="B281" s="12" t="s">
        <v>2</v>
      </c>
      <c r="C281" s="121" t="s">
        <v>3</v>
      </c>
      <c r="D281" s="122"/>
      <c r="E281" s="123"/>
      <c r="F281" s="65" t="s">
        <v>17</v>
      </c>
      <c r="G281" s="83">
        <f>F2</f>
        <v>0</v>
      </c>
      <c r="H281" s="84">
        <f>F3</f>
        <v>0</v>
      </c>
      <c r="I281" s="84">
        <f>F4</f>
        <v>0.05</v>
      </c>
    </row>
    <row r="282" spans="2:9" ht="16.5" thickBot="1" x14ac:dyDescent="0.3">
      <c r="B282" s="12">
        <v>840</v>
      </c>
      <c r="C282" s="121" t="s">
        <v>167</v>
      </c>
      <c r="D282" s="122"/>
      <c r="E282" s="123"/>
      <c r="F282" s="65">
        <v>22000</v>
      </c>
      <c r="G282" s="55">
        <f>$G$2*F282</f>
        <v>22000</v>
      </c>
      <c r="H282" s="55">
        <f>$G$3*G282</f>
        <v>22000</v>
      </c>
      <c r="I282" s="55">
        <f>$G$4*H282</f>
        <v>23100</v>
      </c>
    </row>
    <row r="283" spans="2:9" ht="15.75" x14ac:dyDescent="0.25">
      <c r="B283" s="39"/>
      <c r="C283" s="39"/>
      <c r="D283" s="101"/>
      <c r="E283" s="39"/>
      <c r="F283" s="69"/>
      <c r="G283" s="70"/>
      <c r="H283" s="70"/>
      <c r="I283" s="70"/>
    </row>
    <row r="284" spans="2:9" ht="21.75" thickBot="1" x14ac:dyDescent="0.4">
      <c r="B284" s="22" t="s">
        <v>158</v>
      </c>
      <c r="C284" s="20"/>
      <c r="D284" s="20"/>
      <c r="E284" s="20"/>
      <c r="F284" s="59"/>
      <c r="G284" s="73"/>
      <c r="H284" s="73"/>
      <c r="I284" s="73"/>
    </row>
    <row r="285" spans="2:9" ht="16.5" thickBot="1" x14ac:dyDescent="0.3">
      <c r="B285" s="12" t="s">
        <v>2</v>
      </c>
      <c r="C285" s="121" t="s">
        <v>3</v>
      </c>
      <c r="D285" s="122"/>
      <c r="E285" s="123"/>
      <c r="F285" s="65" t="s">
        <v>17</v>
      </c>
      <c r="G285" s="83">
        <f>F2</f>
        <v>0</v>
      </c>
      <c r="H285" s="84">
        <f>F3</f>
        <v>0</v>
      </c>
      <c r="I285" s="84">
        <f>F4</f>
        <v>0.05</v>
      </c>
    </row>
    <row r="286" spans="2:9" ht="15.75" x14ac:dyDescent="0.25">
      <c r="B286" s="15">
        <v>830</v>
      </c>
      <c r="C286" s="144" t="s">
        <v>159</v>
      </c>
      <c r="D286" s="161"/>
      <c r="E286" s="145"/>
      <c r="F286" s="56">
        <v>30000</v>
      </c>
      <c r="G286" s="55">
        <f>$G$2*F286</f>
        <v>30000</v>
      </c>
      <c r="H286" s="55">
        <f>$G$3*G286</f>
        <v>30000</v>
      </c>
      <c r="I286" s="55">
        <f>$G$4*H286</f>
        <v>31500</v>
      </c>
    </row>
    <row r="287" spans="2:9" ht="15.75" x14ac:dyDescent="0.25">
      <c r="B287" s="19">
        <v>831</v>
      </c>
      <c r="C287" s="139" t="s">
        <v>160</v>
      </c>
      <c r="D287" s="143"/>
      <c r="E287" s="140"/>
      <c r="F287" s="57">
        <v>8345</v>
      </c>
      <c r="G287" s="55">
        <f t="shared" ref="G287:G292" si="21">$G$2*F287</f>
        <v>8345</v>
      </c>
      <c r="H287" s="55">
        <f t="shared" ref="H287:H292" si="22">$G$3*G287</f>
        <v>8345</v>
      </c>
      <c r="I287" s="55">
        <f t="shared" ref="I287:I292" si="23">$G$4*H287</f>
        <v>8762.25</v>
      </c>
    </row>
    <row r="288" spans="2:9" ht="15.75" x14ac:dyDescent="0.25">
      <c r="B288" s="19">
        <v>832</v>
      </c>
      <c r="C288" s="139" t="s">
        <v>161</v>
      </c>
      <c r="D288" s="143"/>
      <c r="E288" s="140"/>
      <c r="F288" s="57">
        <v>8345</v>
      </c>
      <c r="G288" s="55">
        <f t="shared" si="21"/>
        <v>8345</v>
      </c>
      <c r="H288" s="55">
        <f t="shared" si="22"/>
        <v>8345</v>
      </c>
      <c r="I288" s="55">
        <f t="shared" si="23"/>
        <v>8762.25</v>
      </c>
    </row>
    <row r="289" spans="2:9" ht="15.75" x14ac:dyDescent="0.25">
      <c r="B289" s="19">
        <v>833</v>
      </c>
      <c r="C289" s="139" t="s">
        <v>162</v>
      </c>
      <c r="D289" s="143"/>
      <c r="E289" s="140"/>
      <c r="F289" s="57">
        <v>8345</v>
      </c>
      <c r="G289" s="55">
        <f t="shared" si="21"/>
        <v>8345</v>
      </c>
      <c r="H289" s="55">
        <f t="shared" si="22"/>
        <v>8345</v>
      </c>
      <c r="I289" s="55">
        <f t="shared" si="23"/>
        <v>8762.25</v>
      </c>
    </row>
    <row r="290" spans="2:9" ht="15.75" x14ac:dyDescent="0.25">
      <c r="B290" s="19">
        <v>834</v>
      </c>
      <c r="C290" s="139" t="s">
        <v>163</v>
      </c>
      <c r="D290" s="143"/>
      <c r="E290" s="140"/>
      <c r="F290" s="57">
        <v>8345</v>
      </c>
      <c r="G290" s="55">
        <f t="shared" si="21"/>
        <v>8345</v>
      </c>
      <c r="H290" s="55">
        <f t="shared" si="22"/>
        <v>8345</v>
      </c>
      <c r="I290" s="55">
        <f t="shared" si="23"/>
        <v>8762.25</v>
      </c>
    </row>
    <row r="291" spans="2:9" ht="15.75" x14ac:dyDescent="0.25">
      <c r="B291" s="19">
        <v>835</v>
      </c>
      <c r="C291" s="139" t="s">
        <v>164</v>
      </c>
      <c r="D291" s="143"/>
      <c r="E291" s="140"/>
      <c r="F291" s="57">
        <v>10125</v>
      </c>
      <c r="G291" s="55">
        <f t="shared" si="21"/>
        <v>10125</v>
      </c>
      <c r="H291" s="55">
        <f t="shared" si="22"/>
        <v>10125</v>
      </c>
      <c r="I291" s="55">
        <f t="shared" si="23"/>
        <v>10631.25</v>
      </c>
    </row>
    <row r="292" spans="2:9" ht="16.5" thickBot="1" x14ac:dyDescent="0.3">
      <c r="B292" s="17">
        <v>836</v>
      </c>
      <c r="C292" s="141" t="s">
        <v>165</v>
      </c>
      <c r="D292" s="157"/>
      <c r="E292" s="142"/>
      <c r="F292" s="58">
        <v>10125</v>
      </c>
      <c r="G292" s="55">
        <f t="shared" si="21"/>
        <v>10125</v>
      </c>
      <c r="H292" s="55">
        <f t="shared" si="22"/>
        <v>10125</v>
      </c>
      <c r="I292" s="55">
        <f t="shared" si="23"/>
        <v>10631.25</v>
      </c>
    </row>
    <row r="293" spans="2:9" ht="15.75" x14ac:dyDescent="0.25">
      <c r="B293" s="20"/>
      <c r="C293" s="20"/>
      <c r="D293" s="20"/>
      <c r="E293" s="20"/>
      <c r="F293" s="59"/>
      <c r="G293" s="73"/>
      <c r="H293" s="73"/>
      <c r="I293" s="73"/>
    </row>
    <row r="294" spans="2:9" ht="21.75" thickBot="1" x14ac:dyDescent="0.4">
      <c r="B294" s="22" t="s">
        <v>178</v>
      </c>
      <c r="C294" s="20"/>
      <c r="D294" s="20"/>
      <c r="E294" s="20"/>
      <c r="F294" s="59"/>
      <c r="G294" s="73"/>
      <c r="H294" s="73"/>
      <c r="I294" s="73"/>
    </row>
    <row r="295" spans="2:9" ht="16.5" thickBot="1" x14ac:dyDescent="0.3">
      <c r="B295" s="12" t="s">
        <v>2</v>
      </c>
      <c r="C295" s="121" t="s">
        <v>3</v>
      </c>
      <c r="D295" s="122"/>
      <c r="E295" s="123"/>
      <c r="F295" s="65" t="s">
        <v>17</v>
      </c>
      <c r="G295" s="83">
        <f>F2</f>
        <v>0</v>
      </c>
      <c r="H295" s="84">
        <f>F3</f>
        <v>0</v>
      </c>
      <c r="I295" s="84">
        <f>F4</f>
        <v>0.05</v>
      </c>
    </row>
    <row r="296" spans="2:9" ht="15.75" x14ac:dyDescent="0.25">
      <c r="B296" s="15">
        <v>939</v>
      </c>
      <c r="C296" s="144" t="s">
        <v>182</v>
      </c>
      <c r="D296" s="161"/>
      <c r="E296" s="145"/>
      <c r="F296" s="56">
        <v>7890</v>
      </c>
      <c r="G296" s="55">
        <f>$G$2*F296</f>
        <v>7890</v>
      </c>
      <c r="H296" s="55">
        <f>$G$3*G296</f>
        <v>7890</v>
      </c>
      <c r="I296" s="55">
        <f>$G$4*H296</f>
        <v>8284.5</v>
      </c>
    </row>
    <row r="297" spans="2:9" ht="15.75" x14ac:dyDescent="0.25">
      <c r="B297" s="19">
        <v>940</v>
      </c>
      <c r="C297" s="139" t="s">
        <v>183</v>
      </c>
      <c r="D297" s="143"/>
      <c r="E297" s="140"/>
      <c r="F297" s="57">
        <v>15335</v>
      </c>
      <c r="G297" s="55">
        <f t="shared" ref="G297:G302" si="24">$G$2*F297</f>
        <v>15335</v>
      </c>
      <c r="H297" s="55">
        <f t="shared" ref="H297:H302" si="25">$G$3*G297</f>
        <v>15335</v>
      </c>
      <c r="I297" s="55">
        <f t="shared" ref="I297:I302" si="26">$G$4*H297</f>
        <v>16101.75</v>
      </c>
    </row>
    <row r="298" spans="2:9" ht="15.75" x14ac:dyDescent="0.25">
      <c r="B298" s="19">
        <v>941</v>
      </c>
      <c r="C298" s="139" t="s">
        <v>184</v>
      </c>
      <c r="D298" s="143"/>
      <c r="E298" s="140"/>
      <c r="F298" s="57">
        <v>23700</v>
      </c>
      <c r="G298" s="55">
        <f t="shared" si="24"/>
        <v>23700</v>
      </c>
      <c r="H298" s="55">
        <f t="shared" si="25"/>
        <v>23700</v>
      </c>
      <c r="I298" s="55">
        <f t="shared" si="26"/>
        <v>24885</v>
      </c>
    </row>
    <row r="299" spans="2:9" ht="15.75" x14ac:dyDescent="0.25">
      <c r="B299" s="19">
        <v>942</v>
      </c>
      <c r="C299" s="139" t="s">
        <v>185</v>
      </c>
      <c r="D299" s="143"/>
      <c r="E299" s="140"/>
      <c r="F299" s="57">
        <v>32900</v>
      </c>
      <c r="G299" s="55">
        <f t="shared" si="24"/>
        <v>32900</v>
      </c>
      <c r="H299" s="55">
        <f t="shared" si="25"/>
        <v>32900</v>
      </c>
      <c r="I299" s="55">
        <f t="shared" si="26"/>
        <v>34545</v>
      </c>
    </row>
    <row r="300" spans="2:9" ht="15.75" x14ac:dyDescent="0.25">
      <c r="B300" s="19" t="s">
        <v>179</v>
      </c>
      <c r="C300" s="139" t="s">
        <v>186</v>
      </c>
      <c r="D300" s="143"/>
      <c r="E300" s="140"/>
      <c r="F300" s="57">
        <v>14290</v>
      </c>
      <c r="G300" s="55">
        <f t="shared" si="24"/>
        <v>14290</v>
      </c>
      <c r="H300" s="55">
        <f t="shared" si="25"/>
        <v>14290</v>
      </c>
      <c r="I300" s="55">
        <f t="shared" si="26"/>
        <v>15004.5</v>
      </c>
    </row>
    <row r="301" spans="2:9" ht="15.75" x14ac:dyDescent="0.25">
      <c r="B301" s="19" t="s">
        <v>180</v>
      </c>
      <c r="C301" s="139" t="s">
        <v>187</v>
      </c>
      <c r="D301" s="143"/>
      <c r="E301" s="140"/>
      <c r="F301" s="57">
        <v>21770</v>
      </c>
      <c r="G301" s="55">
        <f t="shared" si="24"/>
        <v>21770</v>
      </c>
      <c r="H301" s="55">
        <f t="shared" si="25"/>
        <v>21770</v>
      </c>
      <c r="I301" s="55">
        <f t="shared" si="26"/>
        <v>22858.5</v>
      </c>
    </row>
    <row r="302" spans="2:9" ht="16.5" thickBot="1" x14ac:dyDescent="0.3">
      <c r="B302" s="17" t="s">
        <v>181</v>
      </c>
      <c r="C302" s="141" t="s">
        <v>188</v>
      </c>
      <c r="D302" s="157"/>
      <c r="E302" s="142"/>
      <c r="F302" s="58">
        <v>30380</v>
      </c>
      <c r="G302" s="55">
        <f t="shared" si="24"/>
        <v>30380</v>
      </c>
      <c r="H302" s="55">
        <f t="shared" si="25"/>
        <v>30380</v>
      </c>
      <c r="I302" s="55">
        <f t="shared" si="26"/>
        <v>31899</v>
      </c>
    </row>
    <row r="303" spans="2:9" ht="15.75" x14ac:dyDescent="0.25">
      <c r="B303" s="20"/>
      <c r="C303" s="20"/>
      <c r="D303" s="20"/>
      <c r="E303" s="20"/>
      <c r="F303" s="59"/>
      <c r="G303" s="60"/>
      <c r="H303" s="73"/>
      <c r="I303" s="60"/>
    </row>
    <row r="304" spans="2:9" ht="21.75" thickBot="1" x14ac:dyDescent="0.4">
      <c r="B304" s="21" t="s">
        <v>189</v>
      </c>
      <c r="C304" s="20"/>
      <c r="D304" s="20"/>
      <c r="E304" s="20"/>
      <c r="F304" s="59"/>
      <c r="G304" s="60"/>
      <c r="H304" s="73"/>
      <c r="I304" s="60"/>
    </row>
    <row r="305" spans="2:9" ht="16.5" thickBot="1" x14ac:dyDescent="0.3">
      <c r="B305" s="12" t="s">
        <v>2</v>
      </c>
      <c r="C305" s="121" t="s">
        <v>190</v>
      </c>
      <c r="D305" s="122"/>
      <c r="E305" s="13" t="s">
        <v>191</v>
      </c>
      <c r="F305" s="65" t="s">
        <v>17</v>
      </c>
      <c r="G305" s="83">
        <f>F2</f>
        <v>0</v>
      </c>
      <c r="H305" s="84">
        <f>F3</f>
        <v>0</v>
      </c>
      <c r="I305" s="84">
        <f>F4</f>
        <v>0.05</v>
      </c>
    </row>
    <row r="306" spans="2:9" ht="15.75" x14ac:dyDescent="0.25">
      <c r="B306" s="15">
        <v>980</v>
      </c>
      <c r="C306" s="144" t="s">
        <v>192</v>
      </c>
      <c r="D306" s="145"/>
      <c r="E306" s="15">
        <v>5</v>
      </c>
      <c r="F306" s="56">
        <v>56775</v>
      </c>
      <c r="G306" s="55">
        <f>$G$2*F306</f>
        <v>56775</v>
      </c>
      <c r="H306" s="55">
        <f>$G$3*G306</f>
        <v>56775</v>
      </c>
      <c r="I306" s="55">
        <f>$G$4*H306</f>
        <v>59613.75</v>
      </c>
    </row>
    <row r="307" spans="2:9" ht="15.75" x14ac:dyDescent="0.25">
      <c r="B307" s="19">
        <v>981</v>
      </c>
      <c r="C307" s="139" t="s">
        <v>134</v>
      </c>
      <c r="D307" s="140"/>
      <c r="E307" s="19">
        <v>9</v>
      </c>
      <c r="F307" s="57">
        <v>97170</v>
      </c>
      <c r="G307" s="55">
        <f>$G$2*F307</f>
        <v>97170</v>
      </c>
      <c r="H307" s="55">
        <f>$G$3*G307</f>
        <v>97170</v>
      </c>
      <c r="I307" s="55">
        <f>$G$4*H307</f>
        <v>102028.5</v>
      </c>
    </row>
    <row r="308" spans="2:9" ht="15.75" x14ac:dyDescent="0.25">
      <c r="B308" s="19">
        <v>982</v>
      </c>
      <c r="C308" s="139" t="s">
        <v>193</v>
      </c>
      <c r="D308" s="140"/>
      <c r="E308" s="19">
        <v>16.5</v>
      </c>
      <c r="F308" s="57">
        <v>162065</v>
      </c>
      <c r="G308" s="55">
        <f>$G$2*F308</f>
        <v>162065</v>
      </c>
      <c r="H308" s="55">
        <f>$G$3*G308</f>
        <v>162065</v>
      </c>
      <c r="I308" s="55">
        <f>$G$4*H308</f>
        <v>170168.25</v>
      </c>
    </row>
    <row r="309" spans="2:9" ht="15.75" x14ac:dyDescent="0.25">
      <c r="B309" s="19">
        <v>983</v>
      </c>
      <c r="C309" s="139" t="s">
        <v>135</v>
      </c>
      <c r="D309" s="140"/>
      <c r="E309" s="19">
        <v>23</v>
      </c>
      <c r="F309" s="57">
        <v>217900</v>
      </c>
      <c r="G309" s="55">
        <f>$G$2*F309</f>
        <v>217900</v>
      </c>
      <c r="H309" s="55">
        <f>$G$3*G309</f>
        <v>217900</v>
      </c>
      <c r="I309" s="55">
        <f>$G$4*H309</f>
        <v>228795</v>
      </c>
    </row>
    <row r="310" spans="2:9" ht="16.5" thickBot="1" x14ac:dyDescent="0.3">
      <c r="B310" s="17">
        <v>984</v>
      </c>
      <c r="C310" s="141" t="s">
        <v>136</v>
      </c>
      <c r="D310" s="142"/>
      <c r="E310" s="17">
        <v>35</v>
      </c>
      <c r="F310" s="58">
        <v>326735</v>
      </c>
      <c r="G310" s="55">
        <f>$G$2*F310</f>
        <v>326735</v>
      </c>
      <c r="H310" s="55">
        <f>$G$3*G310</f>
        <v>326735</v>
      </c>
      <c r="I310" s="55">
        <f>$G$4*H310</f>
        <v>343071.75</v>
      </c>
    </row>
    <row r="311" spans="2:9" ht="15.75" x14ac:dyDescent="0.25">
      <c r="B311" s="20"/>
      <c r="C311" s="20"/>
      <c r="D311" s="20"/>
      <c r="E311" s="20"/>
      <c r="F311" s="59"/>
      <c r="G311" s="60"/>
      <c r="H311" s="73"/>
      <c r="I311" s="60"/>
    </row>
    <row r="312" spans="2:9" ht="21.75" thickBot="1" x14ac:dyDescent="0.4">
      <c r="B312" s="22" t="s">
        <v>194</v>
      </c>
      <c r="C312" s="20"/>
      <c r="D312" s="20"/>
      <c r="E312" s="20"/>
      <c r="F312" s="59"/>
      <c r="G312" s="60"/>
      <c r="H312" s="73"/>
      <c r="I312" s="60"/>
    </row>
    <row r="313" spans="2:9" ht="16.5" thickBot="1" x14ac:dyDescent="0.3">
      <c r="B313" s="12" t="s">
        <v>2</v>
      </c>
      <c r="C313" s="121" t="s">
        <v>190</v>
      </c>
      <c r="D313" s="122"/>
      <c r="E313" s="13" t="s">
        <v>191</v>
      </c>
      <c r="F313" s="65" t="s">
        <v>17</v>
      </c>
      <c r="G313" s="83">
        <f>F2</f>
        <v>0</v>
      </c>
      <c r="H313" s="84">
        <f>F3</f>
        <v>0</v>
      </c>
      <c r="I313" s="84">
        <f>F4</f>
        <v>0.05</v>
      </c>
    </row>
    <row r="314" spans="2:9" ht="16.5" thickBot="1" x14ac:dyDescent="0.3">
      <c r="B314" s="12">
        <v>998</v>
      </c>
      <c r="C314" s="186" t="s">
        <v>134</v>
      </c>
      <c r="D314" s="187"/>
      <c r="E314" s="26">
        <v>8</v>
      </c>
      <c r="F314" s="65">
        <v>128390</v>
      </c>
      <c r="G314" s="55">
        <f>$G$2*F314</f>
        <v>128390</v>
      </c>
      <c r="H314" s="55">
        <f>$G$3*G314</f>
        <v>128390</v>
      </c>
      <c r="I314" s="55">
        <f>$G$4*H314</f>
        <v>134809.5</v>
      </c>
    </row>
    <row r="315" spans="2:9" ht="15.75" x14ac:dyDescent="0.25">
      <c r="B315" s="20"/>
      <c r="C315" s="20"/>
      <c r="D315" s="20"/>
      <c r="E315" s="20"/>
      <c r="F315" s="59"/>
      <c r="G315" s="73"/>
      <c r="H315" s="73"/>
      <c r="I315" s="73"/>
    </row>
    <row r="316" spans="2:9" ht="21.75" thickBot="1" x14ac:dyDescent="0.4">
      <c r="B316" s="22" t="s">
        <v>195</v>
      </c>
      <c r="C316" s="20"/>
      <c r="D316" s="20"/>
      <c r="E316" s="20"/>
      <c r="F316" s="59"/>
      <c r="G316" s="73"/>
      <c r="H316" s="73"/>
      <c r="I316" s="73"/>
    </row>
    <row r="317" spans="2:9" ht="16.5" thickBot="1" x14ac:dyDescent="0.3">
      <c r="B317" s="12" t="s">
        <v>2</v>
      </c>
      <c r="C317" s="121" t="s">
        <v>190</v>
      </c>
      <c r="D317" s="122"/>
      <c r="E317" s="13" t="s">
        <v>191</v>
      </c>
      <c r="F317" s="65" t="s">
        <v>17</v>
      </c>
      <c r="G317" s="83">
        <f>F2</f>
        <v>0</v>
      </c>
      <c r="H317" s="84">
        <f>F3</f>
        <v>0</v>
      </c>
      <c r="I317" s="84">
        <f>F4</f>
        <v>0.05</v>
      </c>
    </row>
    <row r="318" spans="2:9" ht="15.75" x14ac:dyDescent="0.25">
      <c r="B318" s="15">
        <v>985</v>
      </c>
      <c r="C318" s="180" t="s">
        <v>196</v>
      </c>
      <c r="D318" s="181"/>
      <c r="E318" s="15">
        <v>0.7</v>
      </c>
      <c r="F318" s="56">
        <v>29490</v>
      </c>
      <c r="G318" s="55">
        <f>$G$2*F318</f>
        <v>29490</v>
      </c>
      <c r="H318" s="55">
        <f>$G$3*G318</f>
        <v>29490</v>
      </c>
      <c r="I318" s="55">
        <f>$G$4*H318</f>
        <v>30964.5</v>
      </c>
    </row>
    <row r="319" spans="2:9" ht="16.5" thickBot="1" x14ac:dyDescent="0.3">
      <c r="B319" s="17">
        <v>986</v>
      </c>
      <c r="C319" s="184" t="s">
        <v>197</v>
      </c>
      <c r="D319" s="185"/>
      <c r="E319" s="17">
        <v>2</v>
      </c>
      <c r="F319" s="58">
        <v>38745</v>
      </c>
      <c r="G319" s="55">
        <f>$G$2*F319</f>
        <v>38745</v>
      </c>
      <c r="H319" s="55">
        <f>$G$3*G319</f>
        <v>38745</v>
      </c>
      <c r="I319" s="55">
        <f>$G$4*H319</f>
        <v>40682.25</v>
      </c>
    </row>
    <row r="320" spans="2:9" ht="15.75" x14ac:dyDescent="0.25">
      <c r="B320" s="20"/>
      <c r="C320" s="20"/>
      <c r="D320" s="20"/>
      <c r="E320" s="20"/>
      <c r="F320" s="59"/>
      <c r="G320" s="60"/>
      <c r="H320" s="73"/>
      <c r="I320" s="60"/>
    </row>
    <row r="321" spans="2:9" ht="21.75" thickBot="1" x14ac:dyDescent="0.4">
      <c r="B321" s="22" t="s">
        <v>198</v>
      </c>
      <c r="C321" s="20"/>
      <c r="D321" s="20"/>
      <c r="E321" s="20"/>
      <c r="F321" s="59"/>
      <c r="G321" s="60"/>
      <c r="H321" s="73"/>
      <c r="I321" s="60"/>
    </row>
    <row r="322" spans="2:9" ht="16.5" thickBot="1" x14ac:dyDescent="0.3">
      <c r="B322" s="12" t="s">
        <v>2</v>
      </c>
      <c r="C322" s="121" t="s">
        <v>190</v>
      </c>
      <c r="D322" s="122"/>
      <c r="E322" s="13" t="s">
        <v>191</v>
      </c>
      <c r="F322" s="65" t="s">
        <v>17</v>
      </c>
      <c r="G322" s="83">
        <f>F2</f>
        <v>0</v>
      </c>
      <c r="H322" s="84">
        <f>F3</f>
        <v>0</v>
      </c>
      <c r="I322" s="84">
        <f>F4</f>
        <v>0.05</v>
      </c>
    </row>
    <row r="323" spans="2:9" ht="15.75" x14ac:dyDescent="0.25">
      <c r="B323" s="15">
        <v>988</v>
      </c>
      <c r="C323" s="180" t="s">
        <v>134</v>
      </c>
      <c r="D323" s="181"/>
      <c r="E323" s="27">
        <v>3</v>
      </c>
      <c r="F323" s="56">
        <v>42730</v>
      </c>
      <c r="G323" s="55">
        <f>$G$2*F323</f>
        <v>42730</v>
      </c>
      <c r="H323" s="55">
        <f>$G$3*G323</f>
        <v>42730</v>
      </c>
      <c r="I323" s="55">
        <f>$G$4*H323</f>
        <v>44866.5</v>
      </c>
    </row>
    <row r="324" spans="2:9" ht="16.5" thickBot="1" x14ac:dyDescent="0.3">
      <c r="B324" s="17">
        <v>995</v>
      </c>
      <c r="C324" s="184" t="s">
        <v>192</v>
      </c>
      <c r="D324" s="185"/>
      <c r="E324" s="17">
        <v>1.8</v>
      </c>
      <c r="F324" s="58">
        <v>35115</v>
      </c>
      <c r="G324" s="55">
        <f>$G$2*F324</f>
        <v>35115</v>
      </c>
      <c r="H324" s="55">
        <f>$G$3*G324</f>
        <v>35115</v>
      </c>
      <c r="I324" s="55">
        <f>$G$4*H324</f>
        <v>36870.75</v>
      </c>
    </row>
    <row r="325" spans="2:9" ht="15.75" x14ac:dyDescent="0.25">
      <c r="B325" s="20"/>
      <c r="C325" s="20"/>
      <c r="D325" s="20"/>
      <c r="E325" s="20"/>
      <c r="F325" s="59"/>
      <c r="G325" s="73"/>
      <c r="H325" s="73"/>
      <c r="I325" s="73"/>
    </row>
    <row r="326" spans="2:9" ht="21.75" thickBot="1" x14ac:dyDescent="0.4">
      <c r="B326" s="22" t="s">
        <v>199</v>
      </c>
      <c r="C326" s="20"/>
      <c r="D326" s="20"/>
      <c r="E326" s="20"/>
      <c r="F326" s="59"/>
      <c r="G326" s="73"/>
      <c r="H326" s="73"/>
      <c r="I326" s="73"/>
    </row>
    <row r="327" spans="2:9" ht="16.5" thickBot="1" x14ac:dyDescent="0.3">
      <c r="B327" s="12" t="s">
        <v>2</v>
      </c>
      <c r="C327" s="121" t="s">
        <v>205</v>
      </c>
      <c r="D327" s="122"/>
      <c r="E327" s="13" t="s">
        <v>191</v>
      </c>
      <c r="F327" s="65" t="s">
        <v>17</v>
      </c>
      <c r="G327" s="83">
        <f>F2</f>
        <v>0</v>
      </c>
      <c r="H327" s="84">
        <f>F3</f>
        <v>0</v>
      </c>
      <c r="I327" s="84">
        <f>F4</f>
        <v>0.05</v>
      </c>
    </row>
    <row r="328" spans="2:9" ht="16.5" thickBot="1" x14ac:dyDescent="0.3">
      <c r="B328" s="12">
        <v>997</v>
      </c>
      <c r="C328" s="186" t="s">
        <v>200</v>
      </c>
      <c r="D328" s="187"/>
      <c r="E328" s="12">
        <v>10.5</v>
      </c>
      <c r="F328" s="65">
        <v>151955</v>
      </c>
      <c r="G328" s="55">
        <f>$G$2*F328</f>
        <v>151955</v>
      </c>
      <c r="H328" s="55">
        <f>$G$3*G328</f>
        <v>151955</v>
      </c>
      <c r="I328" s="55">
        <f>$G$4*H328</f>
        <v>159552.75</v>
      </c>
    </row>
    <row r="329" spans="2:9" x14ac:dyDescent="0.25">
      <c r="G329" s="77"/>
      <c r="I329" s="77"/>
    </row>
    <row r="330" spans="2:9" ht="21.75" thickBot="1" x14ac:dyDescent="0.4">
      <c r="B330" s="22" t="s">
        <v>201</v>
      </c>
      <c r="G330" s="77"/>
      <c r="I330" s="77"/>
    </row>
    <row r="331" spans="2:9" ht="16.5" thickBot="1" x14ac:dyDescent="0.3">
      <c r="B331" s="12" t="s">
        <v>2</v>
      </c>
      <c r="C331" s="121" t="s">
        <v>190</v>
      </c>
      <c r="D331" s="123"/>
      <c r="E331" s="13" t="s">
        <v>202</v>
      </c>
      <c r="F331" s="65" t="s">
        <v>17</v>
      </c>
      <c r="G331" s="83">
        <f>F2</f>
        <v>0</v>
      </c>
      <c r="H331" s="84">
        <f>F3</f>
        <v>0</v>
      </c>
      <c r="I331" s="84">
        <f>F4</f>
        <v>0.05</v>
      </c>
    </row>
    <row r="332" spans="2:9" ht="15.75" x14ac:dyDescent="0.25">
      <c r="B332" s="15">
        <v>979</v>
      </c>
      <c r="C332" s="180" t="s">
        <v>193</v>
      </c>
      <c r="D332" s="181"/>
      <c r="E332" s="15">
        <v>115</v>
      </c>
      <c r="F332" s="56">
        <v>150520</v>
      </c>
      <c r="G332" s="55">
        <f>$G$2*F332</f>
        <v>150520</v>
      </c>
      <c r="H332" s="55">
        <f>$G$3*G332</f>
        <v>150520</v>
      </c>
      <c r="I332" s="55">
        <f>$G$4*H332</f>
        <v>158046</v>
      </c>
    </row>
    <row r="333" spans="2:9" ht="15.75" x14ac:dyDescent="0.25">
      <c r="B333" s="19">
        <v>989</v>
      </c>
      <c r="C333" s="182" t="s">
        <v>134</v>
      </c>
      <c r="D333" s="183"/>
      <c r="E333" s="19">
        <v>60</v>
      </c>
      <c r="F333" s="57">
        <v>69735</v>
      </c>
      <c r="G333" s="55">
        <f>$G$2*F333</f>
        <v>69735</v>
      </c>
      <c r="H333" s="55">
        <f>$G$3*G333</f>
        <v>69735</v>
      </c>
      <c r="I333" s="55">
        <f>$G$4*H333</f>
        <v>73221.75</v>
      </c>
    </row>
    <row r="334" spans="2:9" ht="16.5" thickBot="1" x14ac:dyDescent="0.3">
      <c r="B334" s="17">
        <v>999</v>
      </c>
      <c r="C334" s="184" t="s">
        <v>196</v>
      </c>
      <c r="D334" s="185"/>
      <c r="E334" s="17">
        <v>55</v>
      </c>
      <c r="F334" s="58">
        <v>25090</v>
      </c>
      <c r="G334" s="55">
        <f>$G$2*F334</f>
        <v>25090</v>
      </c>
      <c r="H334" s="55">
        <f>$G$3*G334</f>
        <v>25090</v>
      </c>
      <c r="I334" s="55">
        <f>$G$4*H334</f>
        <v>26344.5</v>
      </c>
    </row>
    <row r="335" spans="2:9" x14ac:dyDescent="0.25">
      <c r="G335" s="77"/>
      <c r="I335" s="77"/>
    </row>
    <row r="336" spans="2:9" ht="21.75" thickBot="1" x14ac:dyDescent="0.4">
      <c r="B336" s="22" t="s">
        <v>203</v>
      </c>
      <c r="G336" s="77"/>
      <c r="I336" s="77"/>
    </row>
    <row r="337" spans="2:9" ht="16.5" thickBot="1" x14ac:dyDescent="0.3">
      <c r="B337" s="12" t="s">
        <v>2</v>
      </c>
      <c r="C337" s="121" t="s">
        <v>206</v>
      </c>
      <c r="D337" s="123"/>
      <c r="E337" s="13" t="s">
        <v>204</v>
      </c>
      <c r="F337" s="65" t="s">
        <v>17</v>
      </c>
      <c r="G337" s="83">
        <f>F2</f>
        <v>0</v>
      </c>
      <c r="H337" s="84">
        <f>F3</f>
        <v>0</v>
      </c>
      <c r="I337" s="84">
        <f>F4</f>
        <v>0.05</v>
      </c>
    </row>
    <row r="338" spans="2:9" ht="15.75" x14ac:dyDescent="0.25">
      <c r="B338" s="15">
        <v>410</v>
      </c>
      <c r="C338" s="180" t="s">
        <v>207</v>
      </c>
      <c r="D338" s="181"/>
      <c r="E338" s="15">
        <v>350</v>
      </c>
      <c r="F338" s="56">
        <v>174430</v>
      </c>
      <c r="G338" s="55">
        <f>$G$2*F338</f>
        <v>174430</v>
      </c>
      <c r="H338" s="55">
        <f>$G$3*G338</f>
        <v>174430</v>
      </c>
      <c r="I338" s="55">
        <f>$G$4*H338</f>
        <v>183151.5</v>
      </c>
    </row>
    <row r="339" spans="2:9" ht="15.75" x14ac:dyDescent="0.25">
      <c r="B339" s="19">
        <v>425</v>
      </c>
      <c r="C339" s="182" t="s">
        <v>208</v>
      </c>
      <c r="D339" s="183"/>
      <c r="E339" s="19">
        <v>500</v>
      </c>
      <c r="F339" s="57">
        <v>370800</v>
      </c>
      <c r="G339" s="55">
        <f>$G$2*F339</f>
        <v>370800</v>
      </c>
      <c r="H339" s="55">
        <f>$G$3*G339</f>
        <v>370800</v>
      </c>
      <c r="I339" s="55">
        <f>$G$4*H339</f>
        <v>389340</v>
      </c>
    </row>
    <row r="340" spans="2:9" ht="15.75" x14ac:dyDescent="0.25">
      <c r="B340" s="19">
        <v>450</v>
      </c>
      <c r="C340" s="182" t="s">
        <v>209</v>
      </c>
      <c r="D340" s="183"/>
      <c r="E340" s="19">
        <v>650</v>
      </c>
      <c r="F340" s="57">
        <v>710800</v>
      </c>
      <c r="G340" s="55">
        <f>$G$2*F340</f>
        <v>710800</v>
      </c>
      <c r="H340" s="55">
        <f>$G$3*G340</f>
        <v>710800</v>
      </c>
      <c r="I340" s="55">
        <f>$G$4*H340</f>
        <v>746340</v>
      </c>
    </row>
    <row r="341" spans="2:9" ht="16.5" thickBot="1" x14ac:dyDescent="0.3">
      <c r="B341" s="17">
        <v>485</v>
      </c>
      <c r="C341" s="184" t="s">
        <v>210</v>
      </c>
      <c r="D341" s="185"/>
      <c r="E341" s="17">
        <v>850</v>
      </c>
      <c r="F341" s="58">
        <v>1449800</v>
      </c>
      <c r="G341" s="55">
        <f>$G$2*F341</f>
        <v>1449800</v>
      </c>
      <c r="H341" s="55">
        <f>$G$3*G341</f>
        <v>1449800</v>
      </c>
      <c r="I341" s="55">
        <f>$G$4*H341</f>
        <v>1522290</v>
      </c>
    </row>
    <row r="342" spans="2:9" x14ac:dyDescent="0.25">
      <c r="G342" s="77"/>
      <c r="I342" s="77"/>
    </row>
    <row r="343" spans="2:9" ht="21.75" thickBot="1" x14ac:dyDescent="0.4">
      <c r="B343" s="22" t="s">
        <v>211</v>
      </c>
      <c r="G343" s="77"/>
      <c r="I343" s="77"/>
    </row>
    <row r="344" spans="2:9" ht="16.5" thickBot="1" x14ac:dyDescent="0.3">
      <c r="B344" s="12" t="s">
        <v>2</v>
      </c>
      <c r="C344" s="121" t="s">
        <v>3</v>
      </c>
      <c r="D344" s="123"/>
      <c r="E344" s="12" t="s">
        <v>4</v>
      </c>
      <c r="F344" s="53" t="s">
        <v>5</v>
      </c>
      <c r="G344" s="83">
        <f>F2</f>
        <v>0</v>
      </c>
      <c r="H344" s="84">
        <f>F3</f>
        <v>0</v>
      </c>
      <c r="I344" s="84">
        <f>F4</f>
        <v>0.05</v>
      </c>
    </row>
    <row r="345" spans="2:9" ht="15.75" x14ac:dyDescent="0.25">
      <c r="B345" s="15">
        <v>701</v>
      </c>
      <c r="C345" s="144" t="s">
        <v>484</v>
      </c>
      <c r="D345" s="145"/>
      <c r="E345" s="15">
        <v>12</v>
      </c>
      <c r="F345" s="56">
        <v>2470</v>
      </c>
      <c r="G345" s="55">
        <f>$G$2*F345</f>
        <v>2470</v>
      </c>
      <c r="H345" s="55">
        <f>$G$3*G345</f>
        <v>2470</v>
      </c>
      <c r="I345" s="55">
        <f>$G$4*H345</f>
        <v>2593.5</v>
      </c>
    </row>
    <row r="346" spans="2:9" ht="15.75" x14ac:dyDescent="0.25">
      <c r="B346" s="19">
        <v>702</v>
      </c>
      <c r="C346" s="139" t="s">
        <v>485</v>
      </c>
      <c r="D346" s="140"/>
      <c r="E346" s="19">
        <v>12</v>
      </c>
      <c r="F346" s="57">
        <v>3300</v>
      </c>
      <c r="G346" s="55">
        <f>$G$2*F346</f>
        <v>3300</v>
      </c>
      <c r="H346" s="55">
        <f>$G$3*G346</f>
        <v>3300</v>
      </c>
      <c r="I346" s="55">
        <f>$G$4*H346</f>
        <v>3465</v>
      </c>
    </row>
    <row r="347" spans="2:9" ht="15.75" x14ac:dyDescent="0.25">
      <c r="B347" s="19">
        <v>703</v>
      </c>
      <c r="C347" s="139" t="s">
        <v>486</v>
      </c>
      <c r="D347" s="140"/>
      <c r="E347" s="19">
        <v>12</v>
      </c>
      <c r="F347" s="57">
        <v>5070</v>
      </c>
      <c r="G347" s="55">
        <f>$G$2*F347</f>
        <v>5070</v>
      </c>
      <c r="H347" s="55">
        <f>$G$3*G347</f>
        <v>5070</v>
      </c>
      <c r="I347" s="55">
        <f>$G$4*H347</f>
        <v>5323.5</v>
      </c>
    </row>
    <row r="348" spans="2:9" ht="16.5" thickBot="1" x14ac:dyDescent="0.3">
      <c r="B348" s="17">
        <v>704</v>
      </c>
      <c r="C348" s="141" t="s">
        <v>487</v>
      </c>
      <c r="D348" s="142"/>
      <c r="E348" s="17">
        <v>12</v>
      </c>
      <c r="F348" s="58">
        <v>6640</v>
      </c>
      <c r="G348" s="55">
        <f>$G$2*F348</f>
        <v>6640</v>
      </c>
      <c r="H348" s="55">
        <f>$G$3*G348</f>
        <v>6640</v>
      </c>
      <c r="I348" s="55">
        <f>$G$4*H348</f>
        <v>6972</v>
      </c>
    </row>
    <row r="349" spans="2:9" ht="15.75" x14ac:dyDescent="0.25">
      <c r="B349" s="114"/>
      <c r="C349" s="114"/>
      <c r="D349" s="114"/>
      <c r="E349" s="114"/>
      <c r="F349" s="69"/>
      <c r="G349" s="70"/>
      <c r="H349" s="70"/>
      <c r="I349" s="70"/>
    </row>
    <row r="350" spans="2:9" ht="15.75" x14ac:dyDescent="0.25">
      <c r="B350" s="114"/>
      <c r="C350" s="114"/>
      <c r="D350" s="114"/>
      <c r="E350" s="114"/>
      <c r="F350" s="69"/>
      <c r="G350" s="70"/>
      <c r="H350" s="70"/>
      <c r="I350" s="70"/>
    </row>
    <row r="351" spans="2:9" ht="15.75" x14ac:dyDescent="0.25">
      <c r="B351" s="114"/>
      <c r="C351" s="114"/>
      <c r="D351" s="114"/>
      <c r="E351" s="114"/>
      <c r="F351" s="69"/>
      <c r="G351" s="70"/>
      <c r="H351" s="70"/>
      <c r="I351" s="70"/>
    </row>
    <row r="352" spans="2:9" ht="15.75" x14ac:dyDescent="0.25">
      <c r="B352" s="114"/>
      <c r="C352" s="114"/>
      <c r="D352" s="114"/>
      <c r="E352" s="114"/>
      <c r="F352" s="69"/>
      <c r="G352" s="70"/>
      <c r="H352" s="70"/>
      <c r="I352" s="70"/>
    </row>
    <row r="353" spans="2:9" ht="15.75" x14ac:dyDescent="0.25">
      <c r="B353" s="114"/>
      <c r="C353" s="114"/>
      <c r="D353" s="114"/>
      <c r="E353" s="114"/>
      <c r="F353" s="69"/>
      <c r="G353" s="70"/>
      <c r="H353" s="70"/>
      <c r="I353" s="70"/>
    </row>
    <row r="354" spans="2:9" ht="15.75" x14ac:dyDescent="0.25">
      <c r="B354" s="114"/>
      <c r="C354" s="114"/>
      <c r="D354" s="114"/>
      <c r="E354" s="114"/>
      <c r="F354" s="69"/>
      <c r="G354" s="70"/>
      <c r="H354" s="70"/>
      <c r="I354" s="70"/>
    </row>
    <row r="355" spans="2:9" ht="15.75" x14ac:dyDescent="0.25">
      <c r="B355" s="114"/>
      <c r="C355" s="114"/>
      <c r="D355" s="114"/>
      <c r="E355" s="114"/>
      <c r="F355" s="69"/>
      <c r="G355" s="70"/>
      <c r="H355" s="70"/>
      <c r="I355" s="70"/>
    </row>
    <row r="356" spans="2:9" ht="15.75" thickBot="1" x14ac:dyDescent="0.3">
      <c r="B356" s="3"/>
      <c r="C356" s="3"/>
      <c r="D356" s="3"/>
      <c r="E356" s="3"/>
      <c r="F356" s="66"/>
      <c r="G356" s="67"/>
      <c r="H356" s="92"/>
      <c r="I356" s="67"/>
    </row>
    <row r="357" spans="2:9" ht="15.75" thickTop="1" x14ac:dyDescent="0.25">
      <c r="B357" s="6">
        <v>0.5</v>
      </c>
      <c r="C357" s="188" t="s">
        <v>64</v>
      </c>
      <c r="D357" s="188"/>
      <c r="E357" s="188"/>
      <c r="F357" s="188"/>
      <c r="G357" s="188"/>
      <c r="H357" s="188"/>
      <c r="I357" s="88" t="s">
        <v>498</v>
      </c>
    </row>
    <row r="358" spans="2:9" x14ac:dyDescent="0.25">
      <c r="B358" s="6"/>
      <c r="C358" s="8"/>
      <c r="D358" s="8"/>
      <c r="E358" s="8"/>
      <c r="F358" s="74"/>
      <c r="G358" s="75"/>
      <c r="H358" s="94"/>
      <c r="I358" s="68"/>
    </row>
    <row r="359" spans="2:9" ht="15.75" thickBot="1" x14ac:dyDescent="0.3">
      <c r="B359" s="128"/>
      <c r="C359" s="128"/>
      <c r="D359" s="106"/>
      <c r="F359" s="45" t="s">
        <v>477</v>
      </c>
    </row>
    <row r="360" spans="2:9" ht="15" customHeight="1" x14ac:dyDescent="0.25">
      <c r="B360" s="128"/>
      <c r="C360" s="128"/>
      <c r="D360" s="106"/>
      <c r="E360" s="129" t="s">
        <v>523</v>
      </c>
      <c r="F360" s="130"/>
      <c r="G360" s="133" t="s">
        <v>508</v>
      </c>
      <c r="H360" s="133"/>
      <c r="I360" s="133"/>
    </row>
    <row r="361" spans="2:9" ht="9.75" customHeight="1" x14ac:dyDescent="0.25">
      <c r="B361" s="128"/>
      <c r="C361" s="128"/>
      <c r="D361" s="106"/>
      <c r="E361" s="131"/>
      <c r="F361" s="132"/>
      <c r="G361" s="108"/>
      <c r="H361" s="108"/>
      <c r="I361" s="108"/>
    </row>
    <row r="362" spans="2:9" ht="15" customHeight="1" x14ac:dyDescent="0.25">
      <c r="B362" s="128"/>
      <c r="C362" s="128"/>
      <c r="D362" s="106"/>
      <c r="E362" s="131"/>
      <c r="F362" s="132"/>
      <c r="G362" s="133" t="s">
        <v>503</v>
      </c>
      <c r="H362" s="133"/>
      <c r="I362" s="133"/>
    </row>
    <row r="363" spans="2:9" ht="9.75" customHeight="1" x14ac:dyDescent="0.25">
      <c r="B363" s="128"/>
      <c r="C363" s="128"/>
      <c r="D363" s="106"/>
      <c r="E363" s="134" t="s">
        <v>522</v>
      </c>
      <c r="F363" s="135"/>
      <c r="G363" s="107"/>
      <c r="H363" s="107"/>
      <c r="I363" s="107"/>
    </row>
    <row r="364" spans="2:9" ht="19.5" customHeight="1" thickBot="1" x14ac:dyDescent="0.3">
      <c r="B364" s="128"/>
      <c r="C364" s="128"/>
      <c r="D364" s="106"/>
      <c r="E364" s="136"/>
      <c r="F364" s="137"/>
      <c r="G364" s="138" t="s">
        <v>502</v>
      </c>
      <c r="H364" s="138"/>
      <c r="I364" s="138"/>
    </row>
    <row r="365" spans="2:9" x14ac:dyDescent="0.25">
      <c r="B365" s="128"/>
      <c r="C365" s="128"/>
      <c r="D365" s="106"/>
      <c r="E365" s="41"/>
      <c r="F365" s="46"/>
      <c r="G365" s="46"/>
      <c r="H365" s="89"/>
      <c r="I365" s="46"/>
    </row>
    <row r="366" spans="2:9" ht="18.75" customHeight="1" x14ac:dyDescent="0.25">
      <c r="B366" s="124" t="s">
        <v>525</v>
      </c>
      <c r="C366" s="124"/>
      <c r="D366" s="125" t="s">
        <v>521</v>
      </c>
      <c r="E366" s="125"/>
      <c r="F366" s="125"/>
      <c r="G366" s="126" t="str">
        <f>(C1)</f>
        <v>Lista N°97 - NOVIEMBRE 2024</v>
      </c>
      <c r="H366" s="126"/>
      <c r="I366" s="126"/>
    </row>
    <row r="367" spans="2:9" ht="21" customHeight="1" x14ac:dyDescent="0.3">
      <c r="B367" s="127" t="s">
        <v>524</v>
      </c>
      <c r="C367" s="127"/>
      <c r="D367" s="125"/>
      <c r="E367" s="125"/>
      <c r="F367" s="125"/>
      <c r="G367" s="126"/>
      <c r="H367" s="126"/>
      <c r="I367" s="126"/>
    </row>
    <row r="368" spans="2:9" s="112" customFormat="1" ht="24" customHeight="1" x14ac:dyDescent="0.3">
      <c r="B368" s="109"/>
      <c r="C368" s="109"/>
      <c r="D368" s="110"/>
      <c r="E368" s="110"/>
      <c r="F368" s="110"/>
      <c r="G368" s="111"/>
      <c r="H368" s="111"/>
      <c r="I368" s="111"/>
    </row>
    <row r="369" spans="2:9" ht="23.25" x14ac:dyDescent="0.35">
      <c r="B369" s="165" t="s">
        <v>212</v>
      </c>
      <c r="C369" s="166"/>
      <c r="D369" s="166"/>
      <c r="E369" s="166"/>
      <c r="F369" s="166"/>
      <c r="G369" s="166"/>
      <c r="H369" s="166"/>
      <c r="I369" s="167"/>
    </row>
    <row r="370" spans="2:9" s="112" customFormat="1" ht="16.5" customHeight="1" x14ac:dyDescent="0.35">
      <c r="B370" s="113"/>
      <c r="C370" s="113"/>
      <c r="D370" s="113"/>
      <c r="E370" s="113"/>
      <c r="F370" s="113"/>
      <c r="G370" s="113"/>
      <c r="H370" s="113"/>
      <c r="I370" s="113"/>
    </row>
    <row r="371" spans="2:9" ht="21.75" thickBot="1" x14ac:dyDescent="0.4">
      <c r="B371" s="22" t="s">
        <v>213</v>
      </c>
      <c r="G371" s="52" t="s">
        <v>6</v>
      </c>
      <c r="H371" s="52" t="s">
        <v>7</v>
      </c>
      <c r="I371" s="52" t="s">
        <v>461</v>
      </c>
    </row>
    <row r="372" spans="2:9" ht="16.5" thickBot="1" x14ac:dyDescent="0.3">
      <c r="B372" s="12" t="s">
        <v>2</v>
      </c>
      <c r="C372" s="121" t="s">
        <v>3</v>
      </c>
      <c r="D372" s="123"/>
      <c r="E372" s="13" t="s">
        <v>214</v>
      </c>
      <c r="F372" s="65" t="s">
        <v>17</v>
      </c>
      <c r="G372" s="83">
        <f>F2</f>
        <v>0</v>
      </c>
      <c r="H372" s="84">
        <f>F3</f>
        <v>0</v>
      </c>
      <c r="I372" s="84">
        <f>F4</f>
        <v>0.05</v>
      </c>
    </row>
    <row r="373" spans="2:9" ht="15.75" x14ac:dyDescent="0.25">
      <c r="B373" s="15">
        <v>202</v>
      </c>
      <c r="C373" s="144" t="s">
        <v>215</v>
      </c>
      <c r="D373" s="145"/>
      <c r="E373" s="15" t="s">
        <v>227</v>
      </c>
      <c r="F373" s="56">
        <v>11920</v>
      </c>
      <c r="G373" s="55">
        <f>$G$2*F373</f>
        <v>11920</v>
      </c>
      <c r="H373" s="55">
        <f>$G$3*G373</f>
        <v>11920</v>
      </c>
      <c r="I373" s="55">
        <f>$G$4*H373</f>
        <v>12516</v>
      </c>
    </row>
    <row r="374" spans="2:9" ht="15.75" x14ac:dyDescent="0.25">
      <c r="B374" s="19">
        <v>203</v>
      </c>
      <c r="C374" s="139" t="s">
        <v>216</v>
      </c>
      <c r="D374" s="140"/>
      <c r="E374" s="19" t="s">
        <v>228</v>
      </c>
      <c r="F374" s="57">
        <v>11920</v>
      </c>
      <c r="G374" s="55">
        <f t="shared" ref="G374:G382" si="27">$G$2*F374</f>
        <v>11920</v>
      </c>
      <c r="H374" s="55">
        <f t="shared" ref="H374:H382" si="28">$G$3*G374</f>
        <v>11920</v>
      </c>
      <c r="I374" s="55">
        <f t="shared" ref="I374:I382" si="29">$G$4*H374</f>
        <v>12516</v>
      </c>
    </row>
    <row r="375" spans="2:9" ht="15.75" x14ac:dyDescent="0.25">
      <c r="B375" s="19">
        <v>204</v>
      </c>
      <c r="C375" s="139" t="s">
        <v>217</v>
      </c>
      <c r="D375" s="140"/>
      <c r="E375" s="19" t="s">
        <v>229</v>
      </c>
      <c r="F375" s="57">
        <v>11920</v>
      </c>
      <c r="G375" s="55">
        <f t="shared" si="27"/>
        <v>11920</v>
      </c>
      <c r="H375" s="55">
        <f t="shared" si="28"/>
        <v>11920</v>
      </c>
      <c r="I375" s="55">
        <f t="shared" si="29"/>
        <v>12516</v>
      </c>
    </row>
    <row r="376" spans="2:9" ht="16.5" thickBot="1" x14ac:dyDescent="0.3">
      <c r="B376" s="17" t="s">
        <v>468</v>
      </c>
      <c r="C376" s="141" t="s">
        <v>218</v>
      </c>
      <c r="D376" s="142"/>
      <c r="E376" s="17" t="s">
        <v>230</v>
      </c>
      <c r="F376" s="58">
        <v>5425</v>
      </c>
      <c r="G376" s="55">
        <f t="shared" si="27"/>
        <v>5425</v>
      </c>
      <c r="H376" s="55">
        <f t="shared" si="28"/>
        <v>5425</v>
      </c>
      <c r="I376" s="55">
        <f t="shared" si="29"/>
        <v>5696.25</v>
      </c>
    </row>
    <row r="377" spans="2:9" ht="15.75" x14ac:dyDescent="0.25">
      <c r="B377" s="15">
        <v>208</v>
      </c>
      <c r="C377" s="144" t="s">
        <v>221</v>
      </c>
      <c r="D377" s="145"/>
      <c r="E377" s="15" t="s">
        <v>469</v>
      </c>
      <c r="F377" s="56">
        <v>31020</v>
      </c>
      <c r="G377" s="55">
        <f t="shared" si="27"/>
        <v>31020</v>
      </c>
      <c r="H377" s="55">
        <f t="shared" si="28"/>
        <v>31020</v>
      </c>
      <c r="I377" s="55">
        <f t="shared" si="29"/>
        <v>32571</v>
      </c>
    </row>
    <row r="378" spans="2:9" ht="16.5" thickBot="1" x14ac:dyDescent="0.3">
      <c r="B378" s="17">
        <v>209</v>
      </c>
      <c r="C378" s="141" t="s">
        <v>222</v>
      </c>
      <c r="D378" s="142"/>
      <c r="E378" s="17" t="s">
        <v>470</v>
      </c>
      <c r="F378" s="58">
        <v>31020</v>
      </c>
      <c r="G378" s="55">
        <f t="shared" si="27"/>
        <v>31020</v>
      </c>
      <c r="H378" s="55">
        <f t="shared" si="28"/>
        <v>31020</v>
      </c>
      <c r="I378" s="55">
        <f t="shared" si="29"/>
        <v>32571</v>
      </c>
    </row>
    <row r="379" spans="2:9" ht="15.75" x14ac:dyDescent="0.25">
      <c r="B379" s="19">
        <v>200</v>
      </c>
      <c r="C379" s="144" t="s">
        <v>223</v>
      </c>
      <c r="D379" s="145"/>
      <c r="E379" s="19">
        <v>117</v>
      </c>
      <c r="F379" s="57">
        <v>22380</v>
      </c>
      <c r="G379" s="55">
        <f t="shared" si="27"/>
        <v>22380</v>
      </c>
      <c r="H379" s="55">
        <f t="shared" si="28"/>
        <v>22380</v>
      </c>
      <c r="I379" s="55">
        <f t="shared" si="29"/>
        <v>23499</v>
      </c>
    </row>
    <row r="380" spans="2:9" ht="15.75" x14ac:dyDescent="0.25">
      <c r="B380" s="19" t="s">
        <v>219</v>
      </c>
      <c r="C380" s="139" t="s">
        <v>224</v>
      </c>
      <c r="D380" s="140"/>
      <c r="E380" s="19">
        <v>165</v>
      </c>
      <c r="F380" s="57">
        <v>27560</v>
      </c>
      <c r="G380" s="55">
        <f t="shared" si="27"/>
        <v>27560</v>
      </c>
      <c r="H380" s="55">
        <f t="shared" si="28"/>
        <v>27560</v>
      </c>
      <c r="I380" s="55">
        <f t="shared" si="29"/>
        <v>28938</v>
      </c>
    </row>
    <row r="381" spans="2:9" ht="15.75" x14ac:dyDescent="0.25">
      <c r="B381" s="19">
        <v>201</v>
      </c>
      <c r="C381" s="139" t="s">
        <v>225</v>
      </c>
      <c r="D381" s="140"/>
      <c r="E381" s="19" t="s">
        <v>471</v>
      </c>
      <c r="F381" s="57">
        <v>34630</v>
      </c>
      <c r="G381" s="55">
        <f t="shared" si="27"/>
        <v>34630</v>
      </c>
      <c r="H381" s="55">
        <f t="shared" si="28"/>
        <v>34630</v>
      </c>
      <c r="I381" s="55">
        <f t="shared" si="29"/>
        <v>36361.5</v>
      </c>
    </row>
    <row r="382" spans="2:9" ht="16.5" thickBot="1" x14ac:dyDescent="0.3">
      <c r="B382" s="17" t="s">
        <v>220</v>
      </c>
      <c r="C382" s="141" t="s">
        <v>226</v>
      </c>
      <c r="D382" s="142"/>
      <c r="E382" s="17" t="s">
        <v>472</v>
      </c>
      <c r="F382" s="58">
        <v>38160</v>
      </c>
      <c r="G382" s="55">
        <f t="shared" si="27"/>
        <v>38160</v>
      </c>
      <c r="H382" s="55">
        <f t="shared" si="28"/>
        <v>38160</v>
      </c>
      <c r="I382" s="55">
        <f t="shared" si="29"/>
        <v>40068</v>
      </c>
    </row>
    <row r="383" spans="2:9" x14ac:dyDescent="0.25">
      <c r="G383" s="77"/>
      <c r="I383" s="77"/>
    </row>
    <row r="384" spans="2:9" ht="21.75" thickBot="1" x14ac:dyDescent="0.4">
      <c r="B384" s="22" t="s">
        <v>231</v>
      </c>
      <c r="G384" s="77"/>
      <c r="I384" s="77"/>
    </row>
    <row r="385" spans="2:9" ht="16.5" thickBot="1" x14ac:dyDescent="0.3">
      <c r="B385" s="12" t="s">
        <v>2</v>
      </c>
      <c r="C385" s="121" t="s">
        <v>3</v>
      </c>
      <c r="D385" s="122"/>
      <c r="E385" s="123"/>
      <c r="F385" s="65" t="s">
        <v>17</v>
      </c>
      <c r="G385" s="83">
        <f>F2</f>
        <v>0</v>
      </c>
      <c r="H385" s="84">
        <f>F3</f>
        <v>0</v>
      </c>
      <c r="I385" s="84">
        <f>F4</f>
        <v>0.05</v>
      </c>
    </row>
    <row r="386" spans="2:9" ht="15.75" x14ac:dyDescent="0.25">
      <c r="B386" s="15">
        <v>206</v>
      </c>
      <c r="C386" s="144" t="s">
        <v>232</v>
      </c>
      <c r="D386" s="161"/>
      <c r="E386" s="145"/>
      <c r="F386" s="56">
        <v>4415</v>
      </c>
      <c r="G386" s="55">
        <f>$G$2*F386</f>
        <v>4415</v>
      </c>
      <c r="H386" s="55">
        <f>$G$3*G386</f>
        <v>4415</v>
      </c>
      <c r="I386" s="55">
        <f>$G$4*H386</f>
        <v>4635.75</v>
      </c>
    </row>
    <row r="387" spans="2:9" ht="16.5" thickBot="1" x14ac:dyDescent="0.3">
      <c r="B387" s="17">
        <v>207</v>
      </c>
      <c r="C387" s="141" t="s">
        <v>233</v>
      </c>
      <c r="D387" s="157"/>
      <c r="E387" s="142"/>
      <c r="F387" s="58">
        <v>3145</v>
      </c>
      <c r="G387" s="55">
        <f>$G$2*F387</f>
        <v>3145</v>
      </c>
      <c r="H387" s="55">
        <f>$G$3*G387</f>
        <v>3145</v>
      </c>
      <c r="I387" s="55">
        <f>$G$4*H387</f>
        <v>3302.25</v>
      </c>
    </row>
    <row r="388" spans="2:9" x14ac:dyDescent="0.25">
      <c r="G388" s="77"/>
      <c r="I388" s="77"/>
    </row>
    <row r="389" spans="2:9" ht="21.75" thickBot="1" x14ac:dyDescent="0.4">
      <c r="B389" s="22" t="s">
        <v>234</v>
      </c>
      <c r="G389" s="77"/>
      <c r="I389" s="77"/>
    </row>
    <row r="390" spans="2:9" ht="16.5" thickBot="1" x14ac:dyDescent="0.3">
      <c r="B390" s="12" t="s">
        <v>2</v>
      </c>
      <c r="C390" s="121" t="s">
        <v>3</v>
      </c>
      <c r="D390" s="122"/>
      <c r="E390" s="123"/>
      <c r="F390" s="65" t="s">
        <v>17</v>
      </c>
      <c r="G390" s="83">
        <f>F2</f>
        <v>0</v>
      </c>
      <c r="H390" s="84">
        <f>F3</f>
        <v>0</v>
      </c>
      <c r="I390" s="84">
        <f>F3</f>
        <v>0</v>
      </c>
    </row>
    <row r="391" spans="2:9" ht="16.5" thickBot="1" x14ac:dyDescent="0.3">
      <c r="B391" s="12">
        <v>210</v>
      </c>
      <c r="C391" s="121" t="s">
        <v>235</v>
      </c>
      <c r="D391" s="122"/>
      <c r="E391" s="123"/>
      <c r="F391" s="65">
        <v>103175</v>
      </c>
      <c r="G391" s="55">
        <f>$G$2*F391</f>
        <v>103175</v>
      </c>
      <c r="H391" s="55">
        <f>$G$3*G391</f>
        <v>103175</v>
      </c>
      <c r="I391" s="55">
        <f>$G$4*H391</f>
        <v>108333.75</v>
      </c>
    </row>
    <row r="393" spans="2:9" ht="21.75" thickBot="1" x14ac:dyDescent="0.4">
      <c r="B393" s="22" t="s">
        <v>236</v>
      </c>
    </row>
    <row r="394" spans="2:9" ht="16.5" thickBot="1" x14ac:dyDescent="0.3">
      <c r="B394" s="12" t="s">
        <v>2</v>
      </c>
      <c r="C394" s="121" t="s">
        <v>3</v>
      </c>
      <c r="D394" s="122"/>
      <c r="E394" s="123"/>
      <c r="F394" s="65" t="s">
        <v>17</v>
      </c>
      <c r="G394" s="83">
        <f>F2</f>
        <v>0</v>
      </c>
      <c r="H394" s="84">
        <f>F3</f>
        <v>0</v>
      </c>
      <c r="I394" s="84">
        <f>F4</f>
        <v>0.05</v>
      </c>
    </row>
    <row r="395" spans="2:9" ht="15.75" x14ac:dyDescent="0.25">
      <c r="B395" s="15">
        <v>211</v>
      </c>
      <c r="C395" s="144" t="s">
        <v>237</v>
      </c>
      <c r="D395" s="161"/>
      <c r="E395" s="145"/>
      <c r="F395" s="56">
        <v>8705</v>
      </c>
      <c r="G395" s="55">
        <f>$G$2*F395</f>
        <v>8705</v>
      </c>
      <c r="H395" s="55">
        <f>$G$3*G395</f>
        <v>8705</v>
      </c>
      <c r="I395" s="55">
        <f>$G$4*H395</f>
        <v>9140.25</v>
      </c>
    </row>
    <row r="396" spans="2:9" ht="15.75" x14ac:dyDescent="0.25">
      <c r="B396" s="19">
        <v>212</v>
      </c>
      <c r="C396" s="139" t="s">
        <v>238</v>
      </c>
      <c r="D396" s="143"/>
      <c r="E396" s="140"/>
      <c r="F396" s="57">
        <v>8705</v>
      </c>
      <c r="G396" s="55">
        <f t="shared" ref="G396:G406" si="30">$G$2*F396</f>
        <v>8705</v>
      </c>
      <c r="H396" s="55">
        <f t="shared" ref="H396:H406" si="31">$G$3*G396</f>
        <v>8705</v>
      </c>
      <c r="I396" s="55">
        <f t="shared" ref="I396:I406" si="32">$G$4*H396</f>
        <v>9140.25</v>
      </c>
    </row>
    <row r="397" spans="2:9" ht="15.75" x14ac:dyDescent="0.25">
      <c r="B397" s="19">
        <v>213</v>
      </c>
      <c r="C397" s="139" t="s">
        <v>239</v>
      </c>
      <c r="D397" s="143"/>
      <c r="E397" s="140"/>
      <c r="F397" s="57">
        <v>8705</v>
      </c>
      <c r="G397" s="55">
        <f t="shared" si="30"/>
        <v>8705</v>
      </c>
      <c r="H397" s="55">
        <f t="shared" si="31"/>
        <v>8705</v>
      </c>
      <c r="I397" s="55">
        <f t="shared" si="32"/>
        <v>9140.25</v>
      </c>
    </row>
    <row r="398" spans="2:9" ht="15.75" x14ac:dyDescent="0.25">
      <c r="B398" s="19">
        <v>214</v>
      </c>
      <c r="C398" s="139" t="s">
        <v>240</v>
      </c>
      <c r="D398" s="143"/>
      <c r="E398" s="140"/>
      <c r="F398" s="57">
        <v>8705</v>
      </c>
      <c r="G398" s="55">
        <f t="shared" si="30"/>
        <v>8705</v>
      </c>
      <c r="H398" s="55">
        <f t="shared" si="31"/>
        <v>8705</v>
      </c>
      <c r="I398" s="55">
        <f t="shared" si="32"/>
        <v>9140.25</v>
      </c>
    </row>
    <row r="399" spans="2:9" ht="15.75" x14ac:dyDescent="0.25">
      <c r="B399" s="19">
        <v>215</v>
      </c>
      <c r="C399" s="139" t="s">
        <v>241</v>
      </c>
      <c r="D399" s="143"/>
      <c r="E399" s="140"/>
      <c r="F399" s="57">
        <v>5725</v>
      </c>
      <c r="G399" s="55">
        <f t="shared" si="30"/>
        <v>5725</v>
      </c>
      <c r="H399" s="55">
        <f t="shared" si="31"/>
        <v>5725</v>
      </c>
      <c r="I399" s="55">
        <f t="shared" si="32"/>
        <v>6011.25</v>
      </c>
    </row>
    <row r="400" spans="2:9" ht="15.75" x14ac:dyDescent="0.25">
      <c r="B400" s="19">
        <v>216</v>
      </c>
      <c r="C400" s="139" t="s">
        <v>242</v>
      </c>
      <c r="D400" s="143"/>
      <c r="E400" s="140"/>
      <c r="F400" s="57">
        <v>5725</v>
      </c>
      <c r="G400" s="55">
        <f t="shared" si="30"/>
        <v>5725</v>
      </c>
      <c r="H400" s="55">
        <f t="shared" si="31"/>
        <v>5725</v>
      </c>
      <c r="I400" s="55">
        <f t="shared" si="32"/>
        <v>6011.25</v>
      </c>
    </row>
    <row r="401" spans="2:9" ht="15.75" x14ac:dyDescent="0.25">
      <c r="B401" s="19">
        <v>217</v>
      </c>
      <c r="C401" s="139" t="s">
        <v>243</v>
      </c>
      <c r="D401" s="143"/>
      <c r="E401" s="140"/>
      <c r="F401" s="57">
        <v>5725</v>
      </c>
      <c r="G401" s="55">
        <f t="shared" si="30"/>
        <v>5725</v>
      </c>
      <c r="H401" s="55">
        <f t="shared" si="31"/>
        <v>5725</v>
      </c>
      <c r="I401" s="55">
        <f t="shared" si="32"/>
        <v>6011.25</v>
      </c>
    </row>
    <row r="402" spans="2:9" ht="15.75" x14ac:dyDescent="0.25">
      <c r="B402" s="19">
        <v>218</v>
      </c>
      <c r="C402" s="139" t="s">
        <v>244</v>
      </c>
      <c r="D402" s="143"/>
      <c r="E402" s="140"/>
      <c r="F402" s="57">
        <v>8705</v>
      </c>
      <c r="G402" s="55">
        <f t="shared" si="30"/>
        <v>8705</v>
      </c>
      <c r="H402" s="55">
        <f t="shared" si="31"/>
        <v>8705</v>
      </c>
      <c r="I402" s="55">
        <f t="shared" si="32"/>
        <v>9140.25</v>
      </c>
    </row>
    <row r="403" spans="2:9" ht="15.75" x14ac:dyDescent="0.25">
      <c r="B403" s="19">
        <v>219</v>
      </c>
      <c r="C403" s="139" t="s">
        <v>245</v>
      </c>
      <c r="D403" s="143"/>
      <c r="E403" s="140"/>
      <c r="F403" s="57">
        <v>8705</v>
      </c>
      <c r="G403" s="55">
        <f t="shared" si="30"/>
        <v>8705</v>
      </c>
      <c r="H403" s="55">
        <f>$G$3*G403</f>
        <v>8705</v>
      </c>
      <c r="I403" s="55">
        <f t="shared" si="32"/>
        <v>9140.25</v>
      </c>
    </row>
    <row r="404" spans="2:9" ht="15.75" x14ac:dyDescent="0.25">
      <c r="B404" s="19">
        <v>220</v>
      </c>
      <c r="C404" s="139" t="s">
        <v>246</v>
      </c>
      <c r="D404" s="143"/>
      <c r="E404" s="140"/>
      <c r="F404" s="57">
        <v>8705</v>
      </c>
      <c r="G404" s="55">
        <f t="shared" si="30"/>
        <v>8705</v>
      </c>
      <c r="H404" s="55">
        <f t="shared" si="31"/>
        <v>8705</v>
      </c>
      <c r="I404" s="55">
        <f t="shared" si="32"/>
        <v>9140.25</v>
      </c>
    </row>
    <row r="405" spans="2:9" ht="15.75" x14ac:dyDescent="0.25">
      <c r="B405" s="19">
        <v>221</v>
      </c>
      <c r="C405" s="139" t="s">
        <v>247</v>
      </c>
      <c r="D405" s="143"/>
      <c r="E405" s="140"/>
      <c r="F405" s="57">
        <v>8705</v>
      </c>
      <c r="G405" s="55">
        <f t="shared" si="30"/>
        <v>8705</v>
      </c>
      <c r="H405" s="55">
        <f t="shared" si="31"/>
        <v>8705</v>
      </c>
      <c r="I405" s="55">
        <f t="shared" si="32"/>
        <v>9140.25</v>
      </c>
    </row>
    <row r="406" spans="2:9" ht="16.5" thickBot="1" x14ac:dyDescent="0.3">
      <c r="B406" s="17">
        <v>222</v>
      </c>
      <c r="C406" s="141" t="s">
        <v>248</v>
      </c>
      <c r="D406" s="157"/>
      <c r="E406" s="142"/>
      <c r="F406" s="58">
        <v>8705</v>
      </c>
      <c r="G406" s="55">
        <f t="shared" si="30"/>
        <v>8705</v>
      </c>
      <c r="H406" s="55">
        <f t="shared" si="31"/>
        <v>8705</v>
      </c>
      <c r="I406" s="55">
        <f t="shared" si="32"/>
        <v>9140.25</v>
      </c>
    </row>
    <row r="407" spans="2:9" ht="15.75" customHeight="1" x14ac:dyDescent="0.25">
      <c r="G407" s="77"/>
      <c r="I407" s="77"/>
    </row>
    <row r="408" spans="2:9" ht="21.75" thickBot="1" x14ac:dyDescent="0.4">
      <c r="B408" s="22" t="s">
        <v>249</v>
      </c>
      <c r="G408" s="77"/>
      <c r="I408" s="77"/>
    </row>
    <row r="409" spans="2:9" ht="16.5" thickBot="1" x14ac:dyDescent="0.3">
      <c r="B409" s="12" t="s">
        <v>2</v>
      </c>
      <c r="C409" s="121" t="s">
        <v>3</v>
      </c>
      <c r="D409" s="122"/>
      <c r="E409" s="123"/>
      <c r="F409" s="65" t="s">
        <v>17</v>
      </c>
      <c r="G409" s="83">
        <f>F2</f>
        <v>0</v>
      </c>
      <c r="H409" s="84">
        <f>F3</f>
        <v>0</v>
      </c>
      <c r="I409" s="84">
        <f>F4</f>
        <v>0.05</v>
      </c>
    </row>
    <row r="410" spans="2:9" ht="15.75" x14ac:dyDescent="0.25">
      <c r="B410" s="23">
        <v>230</v>
      </c>
      <c r="C410" s="144" t="s">
        <v>253</v>
      </c>
      <c r="D410" s="161"/>
      <c r="E410" s="145"/>
      <c r="F410" s="56">
        <v>59565</v>
      </c>
      <c r="G410" s="55">
        <f>$G$2*F410</f>
        <v>59565</v>
      </c>
      <c r="H410" s="55">
        <f>$G$3*G410</f>
        <v>59565</v>
      </c>
      <c r="I410" s="55">
        <f>$G$4*H410</f>
        <v>62543.25</v>
      </c>
    </row>
    <row r="411" spans="2:9" ht="15.75" x14ac:dyDescent="0.25">
      <c r="B411" s="24">
        <v>231</v>
      </c>
      <c r="C411" s="174" t="s">
        <v>254</v>
      </c>
      <c r="D411" s="175"/>
      <c r="E411" s="176"/>
      <c r="F411" s="159">
        <v>8705</v>
      </c>
      <c r="G411" s="152">
        <f>$G$2*F411</f>
        <v>8705</v>
      </c>
      <c r="H411" s="155">
        <f>$G$3*G411</f>
        <v>8705</v>
      </c>
      <c r="I411" s="155">
        <f>$G$4*H411</f>
        <v>9140.25</v>
      </c>
    </row>
    <row r="412" spans="2:9" ht="16.5" thickBot="1" x14ac:dyDescent="0.3">
      <c r="B412" s="25" t="s">
        <v>250</v>
      </c>
      <c r="C412" s="177"/>
      <c r="D412" s="178"/>
      <c r="E412" s="179"/>
      <c r="F412" s="160"/>
      <c r="G412" s="154"/>
      <c r="H412" s="156"/>
      <c r="I412" s="156"/>
    </row>
    <row r="413" spans="2:9" ht="15.75" x14ac:dyDescent="0.25">
      <c r="B413" s="23">
        <v>240</v>
      </c>
      <c r="C413" s="144" t="s">
        <v>255</v>
      </c>
      <c r="D413" s="161"/>
      <c r="E413" s="145"/>
      <c r="F413" s="56">
        <v>59565</v>
      </c>
      <c r="G413" s="55">
        <f>$G$2*F413</f>
        <v>59565</v>
      </c>
      <c r="H413" s="55">
        <f>$G$3*G413</f>
        <v>59565</v>
      </c>
      <c r="I413" s="55">
        <f>$G$4*H413</f>
        <v>62543.25</v>
      </c>
    </row>
    <row r="414" spans="2:9" ht="15.75" x14ac:dyDescent="0.25">
      <c r="B414" s="32">
        <v>241</v>
      </c>
      <c r="C414" s="139" t="s">
        <v>256</v>
      </c>
      <c r="D414" s="143"/>
      <c r="E414" s="140"/>
      <c r="F414" s="159">
        <v>8705</v>
      </c>
      <c r="G414" s="152">
        <f>$G$2*F414</f>
        <v>8705</v>
      </c>
      <c r="H414" s="155">
        <f>$G$3*G414</f>
        <v>8705</v>
      </c>
      <c r="I414" s="155">
        <f>$G$4*H414</f>
        <v>9140.25</v>
      </c>
    </row>
    <row r="415" spans="2:9" ht="16.5" thickBot="1" x14ac:dyDescent="0.3">
      <c r="B415" s="32" t="s">
        <v>251</v>
      </c>
      <c r="C415" s="139" t="s">
        <v>257</v>
      </c>
      <c r="D415" s="143"/>
      <c r="E415" s="140"/>
      <c r="F415" s="160"/>
      <c r="G415" s="154"/>
      <c r="H415" s="156"/>
      <c r="I415" s="156"/>
    </row>
    <row r="416" spans="2:9" ht="15.75" x14ac:dyDescent="0.25">
      <c r="B416" s="31">
        <v>251</v>
      </c>
      <c r="C416" s="144" t="s">
        <v>258</v>
      </c>
      <c r="D416" s="161"/>
      <c r="E416" s="145"/>
      <c r="F416" s="158">
        <v>11435</v>
      </c>
      <c r="G416" s="152">
        <f>$G$2*F416</f>
        <v>11435</v>
      </c>
      <c r="H416" s="155">
        <f>$G$3*G416</f>
        <v>11435</v>
      </c>
      <c r="I416" s="155">
        <f>$G$4*H416</f>
        <v>12006.75</v>
      </c>
    </row>
    <row r="417" spans="2:9" ht="16.5" thickBot="1" x14ac:dyDescent="0.3">
      <c r="B417" s="33" t="s">
        <v>252</v>
      </c>
      <c r="C417" s="141" t="s">
        <v>259</v>
      </c>
      <c r="D417" s="157"/>
      <c r="E417" s="142"/>
      <c r="F417" s="160"/>
      <c r="G417" s="154"/>
      <c r="H417" s="156"/>
      <c r="I417" s="156"/>
    </row>
    <row r="419" spans="2:9" ht="21.75" thickBot="1" x14ac:dyDescent="0.4">
      <c r="B419" s="22" t="s">
        <v>260</v>
      </c>
    </row>
    <row r="420" spans="2:9" ht="16.5" thickBot="1" x14ac:dyDescent="0.3">
      <c r="B420" s="97" t="s">
        <v>2</v>
      </c>
      <c r="C420" s="97" t="s">
        <v>509</v>
      </c>
      <c r="D420" s="102" t="s">
        <v>510</v>
      </c>
      <c r="E420" s="13" t="s">
        <v>299</v>
      </c>
      <c r="F420" s="65" t="s">
        <v>17</v>
      </c>
      <c r="G420" s="83">
        <f>F2</f>
        <v>0</v>
      </c>
      <c r="H420" s="84">
        <f>F3</f>
        <v>0</v>
      </c>
      <c r="I420" s="84">
        <f>F4</f>
        <v>0.05</v>
      </c>
    </row>
    <row r="421" spans="2:9" ht="15.75" x14ac:dyDescent="0.25">
      <c r="B421" s="14" t="s">
        <v>261</v>
      </c>
      <c r="C421" s="101" t="s">
        <v>285</v>
      </c>
      <c r="D421" s="103" t="s">
        <v>511</v>
      </c>
      <c r="E421" s="100" t="s">
        <v>300</v>
      </c>
      <c r="F421" s="56">
        <v>18710</v>
      </c>
      <c r="G421" s="55">
        <f>$G$2*F421</f>
        <v>18710</v>
      </c>
      <c r="H421" s="55">
        <f>$G$3*G421</f>
        <v>18710</v>
      </c>
      <c r="I421" s="55">
        <f>$G$4*H421</f>
        <v>19645.5</v>
      </c>
    </row>
    <row r="422" spans="2:9" ht="15.75" x14ac:dyDescent="0.25">
      <c r="B422" s="18" t="s">
        <v>262</v>
      </c>
      <c r="C422" s="101" t="s">
        <v>286</v>
      </c>
      <c r="D422" s="103" t="s">
        <v>512</v>
      </c>
      <c r="E422" s="96" t="s">
        <v>300</v>
      </c>
      <c r="F422" s="57">
        <v>11615</v>
      </c>
      <c r="G422" s="55">
        <f t="shared" ref="G422:G444" si="33">$G$2*F422</f>
        <v>11615</v>
      </c>
      <c r="H422" s="55">
        <f t="shared" ref="H422:H444" si="34">$G$3*G422</f>
        <v>11615</v>
      </c>
      <c r="I422" s="55">
        <f t="shared" ref="I422:I443" si="35">$G$4*H422</f>
        <v>12195.75</v>
      </c>
    </row>
    <row r="423" spans="2:9" ht="15.75" x14ac:dyDescent="0.25">
      <c r="B423" s="18" t="s">
        <v>263</v>
      </c>
      <c r="C423" s="101" t="s">
        <v>287</v>
      </c>
      <c r="D423" s="103" t="s">
        <v>513</v>
      </c>
      <c r="E423" s="96" t="s">
        <v>300</v>
      </c>
      <c r="F423" s="57">
        <v>9265</v>
      </c>
      <c r="G423" s="55">
        <f t="shared" si="33"/>
        <v>9265</v>
      </c>
      <c r="H423" s="55">
        <f t="shared" si="34"/>
        <v>9265</v>
      </c>
      <c r="I423" s="55">
        <f t="shared" si="35"/>
        <v>9728.25</v>
      </c>
    </row>
    <row r="424" spans="2:9" ht="15.75" x14ac:dyDescent="0.25">
      <c r="B424" s="18" t="s">
        <v>264</v>
      </c>
      <c r="C424" s="101" t="s">
        <v>288</v>
      </c>
      <c r="D424" s="103" t="s">
        <v>514</v>
      </c>
      <c r="E424" s="96" t="s">
        <v>300</v>
      </c>
      <c r="F424" s="57">
        <v>12245</v>
      </c>
      <c r="G424" s="55">
        <f t="shared" si="33"/>
        <v>12245</v>
      </c>
      <c r="H424" s="55">
        <f t="shared" si="34"/>
        <v>12245</v>
      </c>
      <c r="I424" s="55">
        <f t="shared" si="35"/>
        <v>12857.25</v>
      </c>
    </row>
    <row r="425" spans="2:9" ht="15.75" x14ac:dyDescent="0.25">
      <c r="B425" s="18" t="s">
        <v>265</v>
      </c>
      <c r="C425" s="101" t="s">
        <v>287</v>
      </c>
      <c r="D425" s="103" t="s">
        <v>513</v>
      </c>
      <c r="E425" s="96" t="s">
        <v>300</v>
      </c>
      <c r="F425" s="57">
        <v>9265</v>
      </c>
      <c r="G425" s="55">
        <f t="shared" si="33"/>
        <v>9265</v>
      </c>
      <c r="H425" s="55">
        <f t="shared" si="34"/>
        <v>9265</v>
      </c>
      <c r="I425" s="55">
        <f t="shared" si="35"/>
        <v>9728.25</v>
      </c>
    </row>
    <row r="426" spans="2:9" ht="15.75" x14ac:dyDescent="0.25">
      <c r="B426" s="18" t="s">
        <v>266</v>
      </c>
      <c r="C426" s="101" t="s">
        <v>285</v>
      </c>
      <c r="D426" s="103" t="s">
        <v>515</v>
      </c>
      <c r="E426" s="96" t="s">
        <v>300</v>
      </c>
      <c r="F426" s="57">
        <v>17140</v>
      </c>
      <c r="G426" s="55">
        <f t="shared" si="33"/>
        <v>17140</v>
      </c>
      <c r="H426" s="55">
        <f t="shared" si="34"/>
        <v>17140</v>
      </c>
      <c r="I426" s="55">
        <f t="shared" si="35"/>
        <v>17997</v>
      </c>
    </row>
    <row r="427" spans="2:9" ht="15.75" x14ac:dyDescent="0.25">
      <c r="B427" s="18" t="s">
        <v>267</v>
      </c>
      <c r="C427" s="101" t="s">
        <v>289</v>
      </c>
      <c r="D427" s="103" t="s">
        <v>515</v>
      </c>
      <c r="E427" s="96" t="s">
        <v>300</v>
      </c>
      <c r="F427" s="57">
        <v>8670</v>
      </c>
      <c r="G427" s="55">
        <f t="shared" si="33"/>
        <v>8670</v>
      </c>
      <c r="H427" s="55">
        <f t="shared" si="34"/>
        <v>8670</v>
      </c>
      <c r="I427" s="55">
        <f t="shared" si="35"/>
        <v>9103.5</v>
      </c>
    </row>
    <row r="428" spans="2:9" ht="15.75" x14ac:dyDescent="0.25">
      <c r="B428" s="18" t="s">
        <v>268</v>
      </c>
      <c r="C428" s="101" t="s">
        <v>290</v>
      </c>
      <c r="D428" s="103" t="s">
        <v>516</v>
      </c>
      <c r="E428" s="96" t="s">
        <v>300</v>
      </c>
      <c r="F428" s="57">
        <v>9785</v>
      </c>
      <c r="G428" s="55">
        <f t="shared" si="33"/>
        <v>9785</v>
      </c>
      <c r="H428" s="55">
        <f t="shared" si="34"/>
        <v>9785</v>
      </c>
      <c r="I428" s="55">
        <f t="shared" si="35"/>
        <v>10274.25</v>
      </c>
    </row>
    <row r="429" spans="2:9" ht="15.75" x14ac:dyDescent="0.25">
      <c r="B429" s="18" t="s">
        <v>269</v>
      </c>
      <c r="C429" s="101" t="s">
        <v>287</v>
      </c>
      <c r="D429" s="103" t="s">
        <v>516</v>
      </c>
      <c r="E429" s="96" t="s">
        <v>300</v>
      </c>
      <c r="F429" s="57">
        <v>10415</v>
      </c>
      <c r="G429" s="55">
        <f t="shared" si="33"/>
        <v>10415</v>
      </c>
      <c r="H429" s="55">
        <f t="shared" si="34"/>
        <v>10415</v>
      </c>
      <c r="I429" s="55">
        <f t="shared" si="35"/>
        <v>10935.75</v>
      </c>
    </row>
    <row r="430" spans="2:9" ht="15.75" x14ac:dyDescent="0.25">
      <c r="B430" s="18" t="s">
        <v>270</v>
      </c>
      <c r="C430" s="101" t="s">
        <v>291</v>
      </c>
      <c r="D430" s="103" t="s">
        <v>514</v>
      </c>
      <c r="E430" s="96" t="s">
        <v>300</v>
      </c>
      <c r="F430" s="57">
        <v>6195</v>
      </c>
      <c r="G430" s="55">
        <f t="shared" si="33"/>
        <v>6195</v>
      </c>
      <c r="H430" s="55">
        <f t="shared" si="34"/>
        <v>6195</v>
      </c>
      <c r="I430" s="55">
        <f t="shared" si="35"/>
        <v>6504.75</v>
      </c>
    </row>
    <row r="431" spans="2:9" ht="15.75" x14ac:dyDescent="0.25">
      <c r="B431" s="18" t="s">
        <v>271</v>
      </c>
      <c r="C431" s="101" t="s">
        <v>292</v>
      </c>
      <c r="D431" s="103" t="s">
        <v>513</v>
      </c>
      <c r="E431" s="96" t="s">
        <v>300</v>
      </c>
      <c r="F431" s="57">
        <v>11085</v>
      </c>
      <c r="G431" s="55">
        <f t="shared" si="33"/>
        <v>11085</v>
      </c>
      <c r="H431" s="55">
        <f t="shared" si="34"/>
        <v>11085</v>
      </c>
      <c r="I431" s="55">
        <f t="shared" si="35"/>
        <v>11639.25</v>
      </c>
    </row>
    <row r="432" spans="2:9" ht="15.75" x14ac:dyDescent="0.25">
      <c r="B432" s="18" t="s">
        <v>272</v>
      </c>
      <c r="C432" s="101" t="s">
        <v>287</v>
      </c>
      <c r="D432" s="103" t="s">
        <v>517</v>
      </c>
      <c r="E432" s="96" t="s">
        <v>300</v>
      </c>
      <c r="F432" s="57">
        <v>12840</v>
      </c>
      <c r="G432" s="55">
        <f t="shared" si="33"/>
        <v>12840</v>
      </c>
      <c r="H432" s="55">
        <f t="shared" si="34"/>
        <v>12840</v>
      </c>
      <c r="I432" s="55">
        <f t="shared" si="35"/>
        <v>13482</v>
      </c>
    </row>
    <row r="433" spans="2:9" ht="15.75" x14ac:dyDescent="0.25">
      <c r="B433" s="18" t="s">
        <v>273</v>
      </c>
      <c r="C433" s="101" t="s">
        <v>288</v>
      </c>
      <c r="D433" s="103" t="s">
        <v>518</v>
      </c>
      <c r="E433" s="96" t="s">
        <v>300</v>
      </c>
      <c r="F433" s="57">
        <v>9785</v>
      </c>
      <c r="G433" s="55">
        <f t="shared" si="33"/>
        <v>9785</v>
      </c>
      <c r="H433" s="55">
        <f t="shared" si="34"/>
        <v>9785</v>
      </c>
      <c r="I433" s="55">
        <f t="shared" si="35"/>
        <v>10274.25</v>
      </c>
    </row>
    <row r="434" spans="2:9" ht="15.75" x14ac:dyDescent="0.25">
      <c r="B434" s="18" t="s">
        <v>274</v>
      </c>
      <c r="C434" s="101" t="s">
        <v>295</v>
      </c>
      <c r="D434" s="103" t="s">
        <v>513</v>
      </c>
      <c r="E434" s="96" t="s">
        <v>300</v>
      </c>
      <c r="F434" s="57">
        <v>7940</v>
      </c>
      <c r="G434" s="55">
        <f t="shared" si="33"/>
        <v>7940</v>
      </c>
      <c r="H434" s="55">
        <f t="shared" si="34"/>
        <v>7940</v>
      </c>
      <c r="I434" s="55">
        <f t="shared" si="35"/>
        <v>8337</v>
      </c>
    </row>
    <row r="435" spans="2:9" ht="15.75" x14ac:dyDescent="0.25">
      <c r="B435" s="18" t="s">
        <v>275</v>
      </c>
      <c r="C435" s="101" t="s">
        <v>296</v>
      </c>
      <c r="D435" s="103" t="s">
        <v>519</v>
      </c>
      <c r="E435" s="96" t="s">
        <v>300</v>
      </c>
      <c r="F435" s="57">
        <v>12990</v>
      </c>
      <c r="G435" s="55">
        <f t="shared" si="33"/>
        <v>12990</v>
      </c>
      <c r="H435" s="55">
        <f t="shared" si="34"/>
        <v>12990</v>
      </c>
      <c r="I435" s="55">
        <f t="shared" si="35"/>
        <v>13639.5</v>
      </c>
    </row>
    <row r="436" spans="2:9" ht="15.75" x14ac:dyDescent="0.25">
      <c r="B436" s="18" t="s">
        <v>276</v>
      </c>
      <c r="C436" s="101" t="s">
        <v>286</v>
      </c>
      <c r="D436" s="103" t="s">
        <v>515</v>
      </c>
      <c r="E436" s="96" t="s">
        <v>300</v>
      </c>
      <c r="F436" s="57">
        <v>9785</v>
      </c>
      <c r="G436" s="55">
        <f t="shared" si="33"/>
        <v>9785</v>
      </c>
      <c r="H436" s="55">
        <f t="shared" si="34"/>
        <v>9785</v>
      </c>
      <c r="I436" s="55">
        <f t="shared" si="35"/>
        <v>10274.25</v>
      </c>
    </row>
    <row r="437" spans="2:9" ht="15.75" x14ac:dyDescent="0.25">
      <c r="B437" s="18" t="s">
        <v>277</v>
      </c>
      <c r="C437" s="101" t="s">
        <v>293</v>
      </c>
      <c r="D437" s="103" t="s">
        <v>515</v>
      </c>
      <c r="E437" s="96" t="s">
        <v>301</v>
      </c>
      <c r="F437" s="57">
        <v>10780</v>
      </c>
      <c r="G437" s="55">
        <f t="shared" si="33"/>
        <v>10780</v>
      </c>
      <c r="H437" s="55">
        <f t="shared" si="34"/>
        <v>10780</v>
      </c>
      <c r="I437" s="55">
        <f t="shared" si="35"/>
        <v>11319</v>
      </c>
    </row>
    <row r="438" spans="2:9" ht="15.75" x14ac:dyDescent="0.25">
      <c r="B438" s="18" t="s">
        <v>278</v>
      </c>
      <c r="C438" s="101" t="s">
        <v>294</v>
      </c>
      <c r="D438" s="103" t="s">
        <v>515</v>
      </c>
      <c r="E438" s="96" t="s">
        <v>301</v>
      </c>
      <c r="F438" s="57">
        <v>11555</v>
      </c>
      <c r="G438" s="55">
        <f t="shared" si="33"/>
        <v>11555</v>
      </c>
      <c r="H438" s="55">
        <f t="shared" si="34"/>
        <v>11555</v>
      </c>
      <c r="I438" s="55">
        <f t="shared" si="35"/>
        <v>12132.75</v>
      </c>
    </row>
    <row r="439" spans="2:9" ht="15.75" x14ac:dyDescent="0.25">
      <c r="B439" s="18" t="s">
        <v>279</v>
      </c>
      <c r="C439" s="101" t="s">
        <v>293</v>
      </c>
      <c r="D439" s="103" t="s">
        <v>513</v>
      </c>
      <c r="E439" s="96" t="s">
        <v>300</v>
      </c>
      <c r="F439" s="57">
        <v>12245</v>
      </c>
      <c r="G439" s="55">
        <f t="shared" si="33"/>
        <v>12245</v>
      </c>
      <c r="H439" s="55">
        <f t="shared" si="34"/>
        <v>12245</v>
      </c>
      <c r="I439" s="55">
        <f t="shared" si="35"/>
        <v>12857.25</v>
      </c>
    </row>
    <row r="440" spans="2:9" ht="15.75" x14ac:dyDescent="0.25">
      <c r="B440" s="18" t="s">
        <v>280</v>
      </c>
      <c r="C440" s="101" t="s">
        <v>293</v>
      </c>
      <c r="D440" s="103" t="s">
        <v>518</v>
      </c>
      <c r="E440" s="96" t="s">
        <v>300</v>
      </c>
      <c r="F440" s="57">
        <v>11610</v>
      </c>
      <c r="G440" s="55">
        <f t="shared" si="33"/>
        <v>11610</v>
      </c>
      <c r="H440" s="55">
        <f t="shared" si="34"/>
        <v>11610</v>
      </c>
      <c r="I440" s="55">
        <f t="shared" si="35"/>
        <v>12190.5</v>
      </c>
    </row>
    <row r="441" spans="2:9" ht="15.75" x14ac:dyDescent="0.25">
      <c r="B441" s="18" t="s">
        <v>281</v>
      </c>
      <c r="C441" s="101" t="s">
        <v>297</v>
      </c>
      <c r="D441" s="103" t="s">
        <v>513</v>
      </c>
      <c r="E441" s="96" t="s">
        <v>300</v>
      </c>
      <c r="F441" s="57">
        <v>12930</v>
      </c>
      <c r="G441" s="55">
        <f t="shared" si="33"/>
        <v>12930</v>
      </c>
      <c r="H441" s="55">
        <f t="shared" si="34"/>
        <v>12930</v>
      </c>
      <c r="I441" s="55">
        <f t="shared" si="35"/>
        <v>13576.5</v>
      </c>
    </row>
    <row r="442" spans="2:9" ht="15.75" x14ac:dyDescent="0.25">
      <c r="B442" s="18" t="s">
        <v>282</v>
      </c>
      <c r="C442" s="101" t="s">
        <v>288</v>
      </c>
      <c r="D442" s="103" t="s">
        <v>515</v>
      </c>
      <c r="E442" s="96" t="s">
        <v>302</v>
      </c>
      <c r="F442" s="57">
        <v>16200</v>
      </c>
      <c r="G442" s="55">
        <f t="shared" si="33"/>
        <v>16200</v>
      </c>
      <c r="H442" s="55">
        <f t="shared" si="34"/>
        <v>16200</v>
      </c>
      <c r="I442" s="55">
        <f t="shared" si="35"/>
        <v>17010</v>
      </c>
    </row>
    <row r="443" spans="2:9" ht="15.75" x14ac:dyDescent="0.25">
      <c r="B443" s="18" t="s">
        <v>283</v>
      </c>
      <c r="C443" s="101" t="s">
        <v>298</v>
      </c>
      <c r="D443" s="103" t="s">
        <v>515</v>
      </c>
      <c r="E443" s="96" t="s">
        <v>301</v>
      </c>
      <c r="F443" s="57">
        <v>11455</v>
      </c>
      <c r="G443" s="55">
        <f t="shared" si="33"/>
        <v>11455</v>
      </c>
      <c r="H443" s="55">
        <f t="shared" si="34"/>
        <v>11455</v>
      </c>
      <c r="I443" s="55">
        <f t="shared" si="35"/>
        <v>12027.75</v>
      </c>
    </row>
    <row r="444" spans="2:9" ht="16.5" thickBot="1" x14ac:dyDescent="0.3">
      <c r="B444" s="16" t="s">
        <v>284</v>
      </c>
      <c r="C444" s="98" t="s">
        <v>285</v>
      </c>
      <c r="D444" s="104" t="s">
        <v>515</v>
      </c>
      <c r="E444" s="99" t="s">
        <v>300</v>
      </c>
      <c r="F444" s="58">
        <v>20890</v>
      </c>
      <c r="G444" s="55">
        <f t="shared" si="33"/>
        <v>20890</v>
      </c>
      <c r="H444" s="55">
        <f t="shared" si="34"/>
        <v>20890</v>
      </c>
      <c r="I444" s="55">
        <f>$G$4*H444</f>
        <v>21934.5</v>
      </c>
    </row>
    <row r="445" spans="2:9" ht="15.75" x14ac:dyDescent="0.25">
      <c r="B445" s="116"/>
      <c r="C445" s="114"/>
      <c r="D445" s="103"/>
      <c r="E445" s="114"/>
      <c r="F445" s="69"/>
      <c r="G445" s="70"/>
      <c r="H445" s="70"/>
      <c r="I445" s="70"/>
    </row>
    <row r="446" spans="2:9" ht="15.75" x14ac:dyDescent="0.25">
      <c r="B446" s="116"/>
      <c r="C446" s="114"/>
      <c r="D446" s="103"/>
      <c r="E446" s="114"/>
      <c r="F446" s="69"/>
      <c r="G446" s="70"/>
      <c r="H446" s="70"/>
      <c r="I446" s="70"/>
    </row>
    <row r="447" spans="2:9" ht="15.75" x14ac:dyDescent="0.25">
      <c r="B447" s="116"/>
      <c r="C447" s="114"/>
      <c r="D447" s="103"/>
      <c r="E447" s="114"/>
      <c r="F447" s="69"/>
      <c r="G447" s="70"/>
      <c r="H447" s="70"/>
      <c r="I447" s="70"/>
    </row>
    <row r="448" spans="2:9" ht="15.75" thickBot="1" x14ac:dyDescent="0.3">
      <c r="B448" s="3"/>
      <c r="C448" s="3"/>
      <c r="D448" s="3"/>
      <c r="E448" s="3"/>
      <c r="F448" s="66"/>
      <c r="G448" s="67"/>
      <c r="H448" s="92"/>
      <c r="I448" s="67"/>
    </row>
    <row r="449" spans="2:9" ht="15.75" thickTop="1" x14ac:dyDescent="0.25">
      <c r="B449" s="6">
        <v>0.625</v>
      </c>
      <c r="C449" s="188" t="s">
        <v>64</v>
      </c>
      <c r="D449" s="188"/>
      <c r="E449" s="188"/>
      <c r="F449" s="188"/>
      <c r="G449" s="188"/>
      <c r="H449" s="188"/>
      <c r="I449" s="88" t="s">
        <v>500</v>
      </c>
    </row>
    <row r="450" spans="2:9" x14ac:dyDescent="0.25">
      <c r="B450" s="6"/>
      <c r="C450" s="8"/>
      <c r="D450" s="8"/>
      <c r="E450" s="8"/>
      <c r="F450" s="74"/>
      <c r="G450" s="75"/>
      <c r="H450" s="94"/>
      <c r="I450" s="68"/>
    </row>
    <row r="451" spans="2:9" ht="15.75" thickBot="1" x14ac:dyDescent="0.3">
      <c r="B451" s="128"/>
      <c r="C451" s="128"/>
      <c r="D451" s="106"/>
      <c r="F451" s="45" t="s">
        <v>477</v>
      </c>
    </row>
    <row r="452" spans="2:9" ht="15" customHeight="1" x14ac:dyDescent="0.25">
      <c r="B452" s="128"/>
      <c r="C452" s="128"/>
      <c r="D452" s="106"/>
      <c r="E452" s="129" t="s">
        <v>523</v>
      </c>
      <c r="F452" s="130"/>
      <c r="G452" s="133" t="s">
        <v>508</v>
      </c>
      <c r="H452" s="133"/>
      <c r="I452" s="133"/>
    </row>
    <row r="453" spans="2:9" ht="9.75" customHeight="1" x14ac:dyDescent="0.25">
      <c r="B453" s="128"/>
      <c r="C453" s="128"/>
      <c r="D453" s="106"/>
      <c r="E453" s="131"/>
      <c r="F453" s="132"/>
      <c r="G453" s="108"/>
      <c r="H453" s="108"/>
      <c r="I453" s="108"/>
    </row>
    <row r="454" spans="2:9" ht="15" customHeight="1" x14ac:dyDescent="0.25">
      <c r="B454" s="128"/>
      <c r="C454" s="128"/>
      <c r="D454" s="106"/>
      <c r="E454" s="131"/>
      <c r="F454" s="132"/>
      <c r="G454" s="133" t="s">
        <v>503</v>
      </c>
      <c r="H454" s="133"/>
      <c r="I454" s="133"/>
    </row>
    <row r="455" spans="2:9" ht="9.75" customHeight="1" x14ac:dyDescent="0.25">
      <c r="B455" s="128"/>
      <c r="C455" s="128"/>
      <c r="D455" s="106"/>
      <c r="E455" s="134" t="s">
        <v>522</v>
      </c>
      <c r="F455" s="135"/>
      <c r="G455" s="107"/>
      <c r="H455" s="107"/>
      <c r="I455" s="107"/>
    </row>
    <row r="456" spans="2:9" ht="19.5" customHeight="1" thickBot="1" x14ac:dyDescent="0.3">
      <c r="B456" s="128"/>
      <c r="C456" s="128"/>
      <c r="D456" s="106"/>
      <c r="E456" s="136"/>
      <c r="F456" s="137"/>
      <c r="G456" s="138" t="s">
        <v>502</v>
      </c>
      <c r="H456" s="138"/>
      <c r="I456" s="138"/>
    </row>
    <row r="457" spans="2:9" x14ac:dyDescent="0.25">
      <c r="B457" s="128"/>
      <c r="C457" s="128"/>
      <c r="D457" s="106"/>
      <c r="E457" s="41"/>
      <c r="F457" s="46"/>
      <c r="G457" s="46"/>
      <c r="H457" s="89"/>
      <c r="I457" s="46"/>
    </row>
    <row r="458" spans="2:9" ht="18.75" customHeight="1" x14ac:dyDescent="0.25">
      <c r="B458" s="124" t="s">
        <v>525</v>
      </c>
      <c r="C458" s="124"/>
      <c r="D458" s="125" t="s">
        <v>521</v>
      </c>
      <c r="E458" s="125"/>
      <c r="F458" s="125"/>
      <c r="G458" s="126" t="str">
        <f>(C1)</f>
        <v>Lista N°97 - NOVIEMBRE 2024</v>
      </c>
      <c r="H458" s="126"/>
      <c r="I458" s="126"/>
    </row>
    <row r="459" spans="2:9" ht="21" customHeight="1" x14ac:dyDescent="0.3">
      <c r="B459" s="127" t="s">
        <v>524</v>
      </c>
      <c r="C459" s="127"/>
      <c r="D459" s="125"/>
      <c r="E459" s="125"/>
      <c r="F459" s="125"/>
      <c r="G459" s="126"/>
      <c r="H459" s="126"/>
      <c r="I459" s="126"/>
    </row>
    <row r="460" spans="2:9" s="112" customFormat="1" ht="15.75" customHeight="1" x14ac:dyDescent="0.3">
      <c r="B460" s="109"/>
      <c r="C460" s="109"/>
      <c r="D460" s="110"/>
      <c r="E460" s="110"/>
      <c r="F460" s="110"/>
      <c r="G460" s="111"/>
      <c r="H460" s="111"/>
      <c r="I460" s="111"/>
    </row>
    <row r="461" spans="2:9" ht="21.75" thickBot="1" x14ac:dyDescent="0.4">
      <c r="B461" s="22" t="s">
        <v>303</v>
      </c>
      <c r="G461" s="52" t="s">
        <v>6</v>
      </c>
      <c r="H461" s="52" t="s">
        <v>7</v>
      </c>
      <c r="I461" s="52" t="s">
        <v>461</v>
      </c>
    </row>
    <row r="462" spans="2:9" ht="16.5" thickBot="1" x14ac:dyDescent="0.3">
      <c r="B462" s="12" t="s">
        <v>2</v>
      </c>
      <c r="C462" s="121" t="s">
        <v>3</v>
      </c>
      <c r="D462" s="122"/>
      <c r="E462" s="123"/>
      <c r="F462" s="65" t="s">
        <v>17</v>
      </c>
      <c r="G462" s="83">
        <f>F2</f>
        <v>0</v>
      </c>
      <c r="H462" s="84">
        <f>F3</f>
        <v>0</v>
      </c>
      <c r="I462" s="84">
        <f>F4</f>
        <v>0.05</v>
      </c>
    </row>
    <row r="463" spans="2:9" ht="15.75" x14ac:dyDescent="0.25">
      <c r="B463" s="162">
        <v>260</v>
      </c>
      <c r="C463" s="144" t="s">
        <v>304</v>
      </c>
      <c r="D463" s="161"/>
      <c r="E463" s="145"/>
      <c r="F463" s="158">
        <v>20380</v>
      </c>
      <c r="G463" s="152">
        <f>$G$2*F463</f>
        <v>20380</v>
      </c>
      <c r="H463" s="155">
        <f>$G$3*G463</f>
        <v>20380</v>
      </c>
      <c r="I463" s="155">
        <f>$G$4*H463</f>
        <v>21399</v>
      </c>
    </row>
    <row r="464" spans="2:9" ht="15.75" x14ac:dyDescent="0.25">
      <c r="B464" s="163"/>
      <c r="C464" s="139" t="s">
        <v>305</v>
      </c>
      <c r="D464" s="143"/>
      <c r="E464" s="140"/>
      <c r="F464" s="159"/>
      <c r="G464" s="153"/>
      <c r="H464" s="189"/>
      <c r="I464" s="189"/>
    </row>
    <row r="465" spans="2:9" ht="15.75" x14ac:dyDescent="0.25">
      <c r="B465" s="163"/>
      <c r="C465" s="139" t="s">
        <v>306</v>
      </c>
      <c r="D465" s="143"/>
      <c r="E465" s="140"/>
      <c r="F465" s="159"/>
      <c r="G465" s="153"/>
      <c r="H465" s="189"/>
      <c r="I465" s="189"/>
    </row>
    <row r="466" spans="2:9" ht="16.5" thickBot="1" x14ac:dyDescent="0.3">
      <c r="B466" s="164"/>
      <c r="C466" s="141" t="s">
        <v>307</v>
      </c>
      <c r="D466" s="157"/>
      <c r="E466" s="142"/>
      <c r="F466" s="160"/>
      <c r="G466" s="154"/>
      <c r="H466" s="156"/>
      <c r="I466" s="156"/>
    </row>
    <row r="467" spans="2:9" x14ac:dyDescent="0.25">
      <c r="G467" s="77"/>
      <c r="I467" s="77"/>
    </row>
    <row r="468" spans="2:9" ht="21.75" thickBot="1" x14ac:dyDescent="0.4">
      <c r="B468" s="22" t="s">
        <v>308</v>
      </c>
      <c r="G468" s="77"/>
      <c r="I468" s="77"/>
    </row>
    <row r="469" spans="2:9" ht="16.5" thickBot="1" x14ac:dyDescent="0.3">
      <c r="B469" s="12" t="s">
        <v>2</v>
      </c>
      <c r="C469" s="121" t="s">
        <v>3</v>
      </c>
      <c r="D469" s="122"/>
      <c r="E469" s="123"/>
      <c r="F469" s="65" t="s">
        <v>17</v>
      </c>
      <c r="G469" s="83">
        <f>F2</f>
        <v>0</v>
      </c>
      <c r="H469" s="84">
        <f>F3</f>
        <v>0</v>
      </c>
      <c r="I469" s="84">
        <f>F4</f>
        <v>0.05</v>
      </c>
    </row>
    <row r="470" spans="2:9" ht="15.75" x14ac:dyDescent="0.25">
      <c r="B470" s="162">
        <v>261</v>
      </c>
      <c r="C470" s="144" t="s">
        <v>309</v>
      </c>
      <c r="D470" s="161"/>
      <c r="E470" s="145"/>
      <c r="F470" s="158">
        <v>40760</v>
      </c>
      <c r="G470" s="152">
        <f>$G$2*F470</f>
        <v>40760</v>
      </c>
      <c r="H470" s="155">
        <f>$G$3*G470</f>
        <v>40760</v>
      </c>
      <c r="I470" s="190">
        <f>$G$4*H470</f>
        <v>42798</v>
      </c>
    </row>
    <row r="471" spans="2:9" ht="15.75" x14ac:dyDescent="0.25">
      <c r="B471" s="163"/>
      <c r="C471" s="139" t="s">
        <v>305</v>
      </c>
      <c r="D471" s="143"/>
      <c r="E471" s="140"/>
      <c r="F471" s="159"/>
      <c r="G471" s="153"/>
      <c r="H471" s="189"/>
      <c r="I471" s="191"/>
    </row>
    <row r="472" spans="2:9" ht="15.75" x14ac:dyDescent="0.25">
      <c r="B472" s="163"/>
      <c r="C472" s="139" t="s">
        <v>306</v>
      </c>
      <c r="D472" s="143"/>
      <c r="E472" s="140"/>
      <c r="F472" s="159"/>
      <c r="G472" s="153"/>
      <c r="H472" s="189"/>
      <c r="I472" s="191"/>
    </row>
    <row r="473" spans="2:9" ht="15.75" x14ac:dyDescent="0.25">
      <c r="B473" s="163"/>
      <c r="C473" s="139" t="s">
        <v>310</v>
      </c>
      <c r="D473" s="143"/>
      <c r="E473" s="140"/>
      <c r="F473" s="159"/>
      <c r="G473" s="153"/>
      <c r="H473" s="189"/>
      <c r="I473" s="191"/>
    </row>
    <row r="474" spans="2:9" ht="15.75" x14ac:dyDescent="0.25">
      <c r="B474" s="163"/>
      <c r="C474" s="139" t="s">
        <v>311</v>
      </c>
      <c r="D474" s="143"/>
      <c r="E474" s="140"/>
      <c r="F474" s="159"/>
      <c r="G474" s="153"/>
      <c r="H474" s="189"/>
      <c r="I474" s="191"/>
    </row>
    <row r="475" spans="2:9" ht="15.75" x14ac:dyDescent="0.25">
      <c r="B475" s="163"/>
      <c r="C475" s="139" t="s">
        <v>312</v>
      </c>
      <c r="D475" s="143"/>
      <c r="E475" s="140"/>
      <c r="F475" s="159"/>
      <c r="G475" s="153"/>
      <c r="H475" s="189"/>
      <c r="I475" s="191"/>
    </row>
    <row r="476" spans="2:9" ht="15.75" x14ac:dyDescent="0.25">
      <c r="B476" s="163"/>
      <c r="C476" s="139" t="s">
        <v>313</v>
      </c>
      <c r="D476" s="143"/>
      <c r="E476" s="140"/>
      <c r="F476" s="159"/>
      <c r="G476" s="153"/>
      <c r="H476" s="189"/>
      <c r="I476" s="191"/>
    </row>
    <row r="477" spans="2:9" ht="16.5" thickBot="1" x14ac:dyDescent="0.3">
      <c r="B477" s="164"/>
      <c r="C477" s="141" t="s">
        <v>314</v>
      </c>
      <c r="D477" s="157"/>
      <c r="E477" s="142"/>
      <c r="F477" s="160"/>
      <c r="G477" s="154"/>
      <c r="H477" s="156"/>
      <c r="I477" s="192"/>
    </row>
    <row r="478" spans="2:9" ht="15.75" x14ac:dyDescent="0.25">
      <c r="B478" s="40"/>
      <c r="C478" s="39"/>
      <c r="D478" s="101"/>
      <c r="E478" s="39"/>
      <c r="F478" s="78"/>
      <c r="G478" s="79"/>
      <c r="H478" s="79"/>
      <c r="I478" s="79"/>
    </row>
    <row r="479" spans="2:9" ht="21.75" thickBot="1" x14ac:dyDescent="0.4">
      <c r="B479" s="22" t="s">
        <v>175</v>
      </c>
      <c r="C479" s="20"/>
      <c r="D479" s="20"/>
      <c r="E479" s="20"/>
      <c r="F479" s="59"/>
      <c r="G479" s="73"/>
      <c r="H479" s="73"/>
      <c r="I479" s="73"/>
    </row>
    <row r="480" spans="2:9" ht="16.5" thickBot="1" x14ac:dyDescent="0.3">
      <c r="B480" s="12" t="s">
        <v>2</v>
      </c>
      <c r="C480" s="121" t="s">
        <v>3</v>
      </c>
      <c r="D480" s="122"/>
      <c r="E480" s="123"/>
      <c r="F480" s="65" t="s">
        <v>17</v>
      </c>
      <c r="G480" s="83">
        <f>F2</f>
        <v>0</v>
      </c>
      <c r="H480" s="84">
        <f>F3</f>
        <v>0</v>
      </c>
      <c r="I480" s="84">
        <f>F4</f>
        <v>0.05</v>
      </c>
    </row>
    <row r="481" spans="2:9" ht="15.75" x14ac:dyDescent="0.25">
      <c r="B481" s="15">
        <v>655</v>
      </c>
      <c r="C481" s="144" t="s">
        <v>176</v>
      </c>
      <c r="D481" s="161"/>
      <c r="E481" s="145"/>
      <c r="F481" s="56">
        <v>5910</v>
      </c>
      <c r="G481" s="55">
        <f>$G$2*F481</f>
        <v>5910</v>
      </c>
      <c r="H481" s="55">
        <f>$G$3*G481</f>
        <v>5910</v>
      </c>
      <c r="I481" s="55">
        <f>$G$4*H481</f>
        <v>6205.5</v>
      </c>
    </row>
    <row r="482" spans="2:9" ht="16.5" thickBot="1" x14ac:dyDescent="0.3">
      <c r="B482" s="17">
        <v>656</v>
      </c>
      <c r="C482" s="141" t="s">
        <v>177</v>
      </c>
      <c r="D482" s="157"/>
      <c r="E482" s="142"/>
      <c r="F482" s="58">
        <v>7750</v>
      </c>
      <c r="G482" s="55">
        <f>$G$2*F482</f>
        <v>7750</v>
      </c>
      <c r="H482" s="55">
        <f>$G$3*G482</f>
        <v>7750</v>
      </c>
      <c r="I482" s="55">
        <f>$G$4*H482</f>
        <v>8137.5</v>
      </c>
    </row>
    <row r="484" spans="2:9" ht="21.75" thickBot="1" x14ac:dyDescent="0.4">
      <c r="B484" s="22" t="s">
        <v>168</v>
      </c>
      <c r="C484" s="20"/>
      <c r="D484" s="20"/>
      <c r="E484" s="20"/>
      <c r="F484" s="59"/>
      <c r="G484" s="73"/>
      <c r="H484" s="73"/>
      <c r="I484" s="73"/>
    </row>
    <row r="485" spans="2:9" ht="16.5" thickBot="1" x14ac:dyDescent="0.3">
      <c r="B485" s="12" t="s">
        <v>2</v>
      </c>
      <c r="C485" s="121" t="s">
        <v>3</v>
      </c>
      <c r="D485" s="122"/>
      <c r="E485" s="123"/>
      <c r="F485" s="65" t="s">
        <v>17</v>
      </c>
      <c r="G485" s="83">
        <f>F2</f>
        <v>0</v>
      </c>
      <c r="H485" s="84">
        <f>F3</f>
        <v>0</v>
      </c>
      <c r="I485" s="84">
        <f>F4</f>
        <v>0.05</v>
      </c>
    </row>
    <row r="486" spans="2:9" ht="15.75" x14ac:dyDescent="0.25">
      <c r="B486" s="15">
        <v>630</v>
      </c>
      <c r="C486" s="144" t="s">
        <v>171</v>
      </c>
      <c r="D486" s="161"/>
      <c r="E486" s="145"/>
      <c r="F486" s="56">
        <v>4265</v>
      </c>
      <c r="G486" s="55">
        <f>$G$2*F486</f>
        <v>4265</v>
      </c>
      <c r="H486" s="55">
        <f>$G$3*G486</f>
        <v>4265</v>
      </c>
      <c r="I486" s="55">
        <f>$G$4*H486</f>
        <v>4478.25</v>
      </c>
    </row>
    <row r="487" spans="2:9" ht="15.75" x14ac:dyDescent="0.25">
      <c r="B487" s="19">
        <v>631</v>
      </c>
      <c r="C487" s="139" t="s">
        <v>172</v>
      </c>
      <c r="D487" s="143"/>
      <c r="E487" s="140"/>
      <c r="F487" s="57">
        <v>3420</v>
      </c>
      <c r="G487" s="55">
        <f>$G$2*F487</f>
        <v>3420</v>
      </c>
      <c r="H487" s="55">
        <f>$G$3*G487</f>
        <v>3420</v>
      </c>
      <c r="I487" s="55">
        <f>$G$4*H487</f>
        <v>3591</v>
      </c>
    </row>
    <row r="488" spans="2:9" ht="15.75" x14ac:dyDescent="0.25">
      <c r="B488" s="19" t="s">
        <v>169</v>
      </c>
      <c r="C488" s="139" t="s">
        <v>173</v>
      </c>
      <c r="D488" s="143"/>
      <c r="E488" s="140"/>
      <c r="F488" s="57">
        <v>22065</v>
      </c>
      <c r="G488" s="55">
        <f>$G$2*F488</f>
        <v>22065</v>
      </c>
      <c r="H488" s="55">
        <f>$G$3*G488</f>
        <v>22065</v>
      </c>
      <c r="I488" s="55">
        <f>$G$4*H488</f>
        <v>23168.25</v>
      </c>
    </row>
    <row r="489" spans="2:9" ht="16.5" thickBot="1" x14ac:dyDescent="0.3">
      <c r="B489" s="17" t="s">
        <v>170</v>
      </c>
      <c r="C489" s="141" t="s">
        <v>174</v>
      </c>
      <c r="D489" s="157"/>
      <c r="E489" s="142"/>
      <c r="F489" s="58">
        <v>17865</v>
      </c>
      <c r="G489" s="55">
        <f>$G$2*F489</f>
        <v>17865</v>
      </c>
      <c r="H489" s="55">
        <f>$G$3*G489</f>
        <v>17865</v>
      </c>
      <c r="I489" s="55">
        <f>$G$4*H489</f>
        <v>18758.25</v>
      </c>
    </row>
    <row r="491" spans="2:9" ht="21.75" thickBot="1" x14ac:dyDescent="0.4">
      <c r="B491" s="22" t="s">
        <v>322</v>
      </c>
    </row>
    <row r="492" spans="2:9" ht="16.5" thickBot="1" x14ac:dyDescent="0.3">
      <c r="B492" s="12" t="s">
        <v>2</v>
      </c>
      <c r="C492" s="121" t="s">
        <v>3</v>
      </c>
      <c r="D492" s="122"/>
      <c r="E492" s="123"/>
      <c r="F492" s="65" t="s">
        <v>17</v>
      </c>
      <c r="G492" s="83">
        <f>F2</f>
        <v>0</v>
      </c>
      <c r="H492" s="84">
        <f>F3</f>
        <v>0</v>
      </c>
      <c r="I492" s="84">
        <f>F4</f>
        <v>0.05</v>
      </c>
    </row>
    <row r="493" spans="2:9" ht="15.75" x14ac:dyDescent="0.25">
      <c r="B493" s="15">
        <v>600</v>
      </c>
      <c r="C493" s="161" t="s">
        <v>339</v>
      </c>
      <c r="D493" s="161"/>
      <c r="E493" s="161"/>
      <c r="F493" s="56">
        <v>4290</v>
      </c>
      <c r="G493" s="55">
        <f>$G$2*F493</f>
        <v>4290</v>
      </c>
      <c r="H493" s="55">
        <f>$G$3*G493</f>
        <v>4290</v>
      </c>
      <c r="I493" s="55">
        <f>$G$4*H493</f>
        <v>4504.5</v>
      </c>
    </row>
    <row r="494" spans="2:9" ht="15.75" x14ac:dyDescent="0.25">
      <c r="B494" s="19">
        <v>601</v>
      </c>
      <c r="C494" s="143" t="s">
        <v>340</v>
      </c>
      <c r="D494" s="143"/>
      <c r="E494" s="143"/>
      <c r="F494" s="57">
        <v>5715</v>
      </c>
      <c r="G494" s="55">
        <f t="shared" ref="G494:G522" si="36">$G$2*F494</f>
        <v>5715</v>
      </c>
      <c r="H494" s="55">
        <f t="shared" ref="H494:H522" si="37">$G$3*G494</f>
        <v>5715</v>
      </c>
      <c r="I494" s="55">
        <f t="shared" ref="I494:I522" si="38">$G$4*H494</f>
        <v>6000.75</v>
      </c>
    </row>
    <row r="495" spans="2:9" ht="15.75" x14ac:dyDescent="0.25">
      <c r="B495" s="19">
        <v>602</v>
      </c>
      <c r="C495" s="143" t="s">
        <v>341</v>
      </c>
      <c r="D495" s="143"/>
      <c r="E495" s="143"/>
      <c r="F495" s="57">
        <v>8020</v>
      </c>
      <c r="G495" s="55">
        <f t="shared" si="36"/>
        <v>8020</v>
      </c>
      <c r="H495" s="55">
        <f t="shared" si="37"/>
        <v>8020</v>
      </c>
      <c r="I495" s="55">
        <f t="shared" si="38"/>
        <v>8421</v>
      </c>
    </row>
    <row r="496" spans="2:9" ht="16.5" thickBot="1" x14ac:dyDescent="0.3">
      <c r="B496" s="17">
        <v>603</v>
      </c>
      <c r="C496" s="157" t="s">
        <v>342</v>
      </c>
      <c r="D496" s="157"/>
      <c r="E496" s="157"/>
      <c r="F496" s="58">
        <v>10090</v>
      </c>
      <c r="G496" s="55">
        <f t="shared" si="36"/>
        <v>10090</v>
      </c>
      <c r="H496" s="55">
        <f t="shared" si="37"/>
        <v>10090</v>
      </c>
      <c r="I496" s="55">
        <f t="shared" si="38"/>
        <v>10594.5</v>
      </c>
    </row>
    <row r="497" spans="2:9" ht="15.75" x14ac:dyDescent="0.25">
      <c r="B497" s="15" t="s">
        <v>323</v>
      </c>
      <c r="C497" s="161" t="s">
        <v>346</v>
      </c>
      <c r="D497" s="161"/>
      <c r="E497" s="161"/>
      <c r="F497" s="56">
        <v>22095</v>
      </c>
      <c r="G497" s="55">
        <f t="shared" si="36"/>
        <v>22095</v>
      </c>
      <c r="H497" s="55">
        <f t="shared" si="37"/>
        <v>22095</v>
      </c>
      <c r="I497" s="55">
        <f t="shared" si="38"/>
        <v>23199.75</v>
      </c>
    </row>
    <row r="498" spans="2:9" ht="15.75" x14ac:dyDescent="0.25">
      <c r="B498" s="19" t="s">
        <v>324</v>
      </c>
      <c r="C498" s="143" t="s">
        <v>343</v>
      </c>
      <c r="D498" s="143"/>
      <c r="E498" s="143"/>
      <c r="F498" s="57">
        <v>29235</v>
      </c>
      <c r="G498" s="55">
        <f t="shared" si="36"/>
        <v>29235</v>
      </c>
      <c r="H498" s="55">
        <f t="shared" si="37"/>
        <v>29235</v>
      </c>
      <c r="I498" s="55">
        <f t="shared" si="38"/>
        <v>30696.75</v>
      </c>
    </row>
    <row r="499" spans="2:9" ht="15.75" x14ac:dyDescent="0.25">
      <c r="B499" s="19" t="s">
        <v>325</v>
      </c>
      <c r="C499" s="143" t="s">
        <v>344</v>
      </c>
      <c r="D499" s="143"/>
      <c r="E499" s="143"/>
      <c r="F499" s="57">
        <v>40755</v>
      </c>
      <c r="G499" s="55">
        <f t="shared" si="36"/>
        <v>40755</v>
      </c>
      <c r="H499" s="55">
        <f t="shared" si="37"/>
        <v>40755</v>
      </c>
      <c r="I499" s="55">
        <f t="shared" si="38"/>
        <v>42792.75</v>
      </c>
    </row>
    <row r="500" spans="2:9" ht="16.5" thickBot="1" x14ac:dyDescent="0.3">
      <c r="B500" s="17" t="s">
        <v>326</v>
      </c>
      <c r="C500" s="157" t="s">
        <v>345</v>
      </c>
      <c r="D500" s="157"/>
      <c r="E500" s="157"/>
      <c r="F500" s="58">
        <v>51110</v>
      </c>
      <c r="G500" s="55">
        <f t="shared" si="36"/>
        <v>51110</v>
      </c>
      <c r="H500" s="55">
        <f t="shared" si="37"/>
        <v>51110</v>
      </c>
      <c r="I500" s="55">
        <f t="shared" si="38"/>
        <v>53665.5</v>
      </c>
    </row>
    <row r="501" spans="2:9" ht="15.75" x14ac:dyDescent="0.25">
      <c r="B501" s="15">
        <v>610</v>
      </c>
      <c r="C501" s="161" t="s">
        <v>347</v>
      </c>
      <c r="D501" s="161"/>
      <c r="E501" s="161"/>
      <c r="F501" s="56">
        <v>4140</v>
      </c>
      <c r="G501" s="55">
        <f t="shared" si="36"/>
        <v>4140</v>
      </c>
      <c r="H501" s="55">
        <f t="shared" si="37"/>
        <v>4140</v>
      </c>
      <c r="I501" s="55">
        <f t="shared" si="38"/>
        <v>4347</v>
      </c>
    </row>
    <row r="502" spans="2:9" ht="15.75" x14ac:dyDescent="0.25">
      <c r="B502" s="19">
        <v>611</v>
      </c>
      <c r="C502" s="143" t="s">
        <v>348</v>
      </c>
      <c r="D502" s="143"/>
      <c r="E502" s="143"/>
      <c r="F502" s="57">
        <v>4480</v>
      </c>
      <c r="G502" s="55">
        <f t="shared" si="36"/>
        <v>4480</v>
      </c>
      <c r="H502" s="55">
        <f t="shared" si="37"/>
        <v>4480</v>
      </c>
      <c r="I502" s="55">
        <f t="shared" si="38"/>
        <v>4704</v>
      </c>
    </row>
    <row r="503" spans="2:9" ht="15.75" x14ac:dyDescent="0.25">
      <c r="B503" s="19">
        <v>612</v>
      </c>
      <c r="C503" s="143" t="s">
        <v>349</v>
      </c>
      <c r="D503" s="143"/>
      <c r="E503" s="143"/>
      <c r="F503" s="57">
        <v>5010</v>
      </c>
      <c r="G503" s="55">
        <f t="shared" si="36"/>
        <v>5010</v>
      </c>
      <c r="H503" s="55">
        <f t="shared" si="37"/>
        <v>5010</v>
      </c>
      <c r="I503" s="55">
        <f t="shared" si="38"/>
        <v>5260.5</v>
      </c>
    </row>
    <row r="504" spans="2:9" ht="15.75" x14ac:dyDescent="0.25">
      <c r="B504" s="19">
        <v>613</v>
      </c>
      <c r="C504" s="143" t="s">
        <v>350</v>
      </c>
      <c r="D504" s="143"/>
      <c r="E504" s="143"/>
      <c r="F504" s="57">
        <v>5800</v>
      </c>
      <c r="G504" s="55">
        <f t="shared" si="36"/>
        <v>5800</v>
      </c>
      <c r="H504" s="55">
        <f t="shared" si="37"/>
        <v>5800</v>
      </c>
      <c r="I504" s="55">
        <f t="shared" si="38"/>
        <v>6090</v>
      </c>
    </row>
    <row r="505" spans="2:9" ht="16.5" thickBot="1" x14ac:dyDescent="0.3">
      <c r="B505" s="17">
        <v>614</v>
      </c>
      <c r="C505" s="157" t="s">
        <v>351</v>
      </c>
      <c r="D505" s="157"/>
      <c r="E505" s="157"/>
      <c r="F505" s="58">
        <v>6680</v>
      </c>
      <c r="G505" s="55">
        <f t="shared" si="36"/>
        <v>6680</v>
      </c>
      <c r="H505" s="55">
        <f t="shared" si="37"/>
        <v>6680</v>
      </c>
      <c r="I505" s="55">
        <f t="shared" si="38"/>
        <v>7014</v>
      </c>
    </row>
    <row r="506" spans="2:9" ht="15.75" x14ac:dyDescent="0.25">
      <c r="B506" s="15" t="s">
        <v>327</v>
      </c>
      <c r="C506" s="161" t="s">
        <v>352</v>
      </c>
      <c r="D506" s="161"/>
      <c r="E506" s="161"/>
      <c r="F506" s="56">
        <v>21355</v>
      </c>
      <c r="G506" s="55">
        <f t="shared" si="36"/>
        <v>21355</v>
      </c>
      <c r="H506" s="55">
        <f t="shared" si="37"/>
        <v>21355</v>
      </c>
      <c r="I506" s="55">
        <f t="shared" si="38"/>
        <v>22422.75</v>
      </c>
    </row>
    <row r="507" spans="2:9" ht="15.75" x14ac:dyDescent="0.25">
      <c r="B507" s="19" t="s">
        <v>328</v>
      </c>
      <c r="C507" s="143" t="s">
        <v>353</v>
      </c>
      <c r="D507" s="143"/>
      <c r="E507" s="143"/>
      <c r="F507" s="57">
        <v>23085</v>
      </c>
      <c r="G507" s="55">
        <f t="shared" si="36"/>
        <v>23085</v>
      </c>
      <c r="H507" s="55">
        <f t="shared" si="37"/>
        <v>23085</v>
      </c>
      <c r="I507" s="55">
        <f t="shared" si="38"/>
        <v>24239.25</v>
      </c>
    </row>
    <row r="508" spans="2:9" ht="15.75" x14ac:dyDescent="0.25">
      <c r="B508" s="19" t="s">
        <v>329</v>
      </c>
      <c r="C508" s="143" t="s">
        <v>354</v>
      </c>
      <c r="D508" s="143"/>
      <c r="E508" s="143"/>
      <c r="F508" s="57">
        <v>25720</v>
      </c>
      <c r="G508" s="55">
        <f t="shared" si="36"/>
        <v>25720</v>
      </c>
      <c r="H508" s="55">
        <f t="shared" si="37"/>
        <v>25720</v>
      </c>
      <c r="I508" s="55">
        <f t="shared" si="38"/>
        <v>27006</v>
      </c>
    </row>
    <row r="509" spans="2:9" ht="15.75" x14ac:dyDescent="0.25">
      <c r="B509" s="19" t="s">
        <v>330</v>
      </c>
      <c r="C509" s="143" t="s">
        <v>355</v>
      </c>
      <c r="D509" s="143"/>
      <c r="E509" s="143"/>
      <c r="F509" s="57">
        <v>30015</v>
      </c>
      <c r="G509" s="55">
        <f t="shared" si="36"/>
        <v>30015</v>
      </c>
      <c r="H509" s="55">
        <f t="shared" si="37"/>
        <v>30015</v>
      </c>
      <c r="I509" s="55">
        <f t="shared" si="38"/>
        <v>31515.75</v>
      </c>
    </row>
    <row r="510" spans="2:9" ht="16.5" thickBot="1" x14ac:dyDescent="0.3">
      <c r="B510" s="17" t="s">
        <v>331</v>
      </c>
      <c r="C510" s="157" t="s">
        <v>356</v>
      </c>
      <c r="D510" s="157"/>
      <c r="E510" s="157"/>
      <c r="F510" s="58">
        <v>34440</v>
      </c>
      <c r="G510" s="55">
        <f t="shared" si="36"/>
        <v>34440</v>
      </c>
      <c r="H510" s="55">
        <f t="shared" si="37"/>
        <v>34440</v>
      </c>
      <c r="I510" s="55">
        <f t="shared" si="38"/>
        <v>36162</v>
      </c>
    </row>
    <row r="511" spans="2:9" ht="15.75" x14ac:dyDescent="0.25">
      <c r="B511" s="15" t="s">
        <v>332</v>
      </c>
      <c r="C511" s="161" t="s">
        <v>357</v>
      </c>
      <c r="D511" s="161"/>
      <c r="E511" s="161"/>
      <c r="F511" s="56">
        <v>7400</v>
      </c>
      <c r="G511" s="55">
        <f t="shared" si="36"/>
        <v>7400</v>
      </c>
      <c r="H511" s="55">
        <f t="shared" si="37"/>
        <v>7400</v>
      </c>
      <c r="I511" s="55">
        <f t="shared" si="38"/>
        <v>7770</v>
      </c>
    </row>
    <row r="512" spans="2:9" ht="16.5" thickBot="1" x14ac:dyDescent="0.3">
      <c r="B512" s="17" t="s">
        <v>333</v>
      </c>
      <c r="C512" s="157" t="s">
        <v>358</v>
      </c>
      <c r="D512" s="157"/>
      <c r="E512" s="157"/>
      <c r="F512" s="58">
        <v>8350</v>
      </c>
      <c r="G512" s="55">
        <f t="shared" si="36"/>
        <v>8350</v>
      </c>
      <c r="H512" s="55">
        <f t="shared" si="37"/>
        <v>8350</v>
      </c>
      <c r="I512" s="55">
        <f t="shared" si="38"/>
        <v>8767.5</v>
      </c>
    </row>
    <row r="513" spans="2:9" ht="15.75" x14ac:dyDescent="0.25">
      <c r="B513" s="15">
        <v>620</v>
      </c>
      <c r="C513" s="161" t="s">
        <v>359</v>
      </c>
      <c r="D513" s="161"/>
      <c r="E513" s="161"/>
      <c r="F513" s="56">
        <v>4065</v>
      </c>
      <c r="G513" s="55">
        <f t="shared" si="36"/>
        <v>4065</v>
      </c>
      <c r="H513" s="55">
        <f t="shared" si="37"/>
        <v>4065</v>
      </c>
      <c r="I513" s="55">
        <f t="shared" si="38"/>
        <v>4268.25</v>
      </c>
    </row>
    <row r="514" spans="2:9" ht="15.75" x14ac:dyDescent="0.25">
      <c r="B514" s="19">
        <v>621</v>
      </c>
      <c r="C514" s="143" t="s">
        <v>360</v>
      </c>
      <c r="D514" s="143"/>
      <c r="E514" s="143"/>
      <c r="F514" s="57">
        <v>4065</v>
      </c>
      <c r="G514" s="55">
        <f t="shared" si="36"/>
        <v>4065</v>
      </c>
      <c r="H514" s="55">
        <f t="shared" si="37"/>
        <v>4065</v>
      </c>
      <c r="I514" s="55">
        <f t="shared" si="38"/>
        <v>4268.25</v>
      </c>
    </row>
    <row r="515" spans="2:9" ht="15.75" x14ac:dyDescent="0.25">
      <c r="B515" s="19">
        <v>622</v>
      </c>
      <c r="C515" s="143" t="s">
        <v>361</v>
      </c>
      <c r="D515" s="143"/>
      <c r="E515" s="143"/>
      <c r="F515" s="57">
        <v>4065</v>
      </c>
      <c r="G515" s="55">
        <f t="shared" si="36"/>
        <v>4065</v>
      </c>
      <c r="H515" s="55">
        <f t="shared" si="37"/>
        <v>4065</v>
      </c>
      <c r="I515" s="55">
        <f t="shared" si="38"/>
        <v>4268.25</v>
      </c>
    </row>
    <row r="516" spans="2:9" ht="15.75" x14ac:dyDescent="0.25">
      <c r="B516" s="19">
        <v>623</v>
      </c>
      <c r="C516" s="143" t="s">
        <v>362</v>
      </c>
      <c r="D516" s="143"/>
      <c r="E516" s="143"/>
      <c r="F516" s="57">
        <v>4425</v>
      </c>
      <c r="G516" s="55">
        <f t="shared" si="36"/>
        <v>4425</v>
      </c>
      <c r="H516" s="55">
        <f t="shared" si="37"/>
        <v>4425</v>
      </c>
      <c r="I516" s="55">
        <f t="shared" si="38"/>
        <v>4646.25</v>
      </c>
    </row>
    <row r="517" spans="2:9" ht="16.5" thickBot="1" x14ac:dyDescent="0.3">
      <c r="B517" s="17">
        <v>624</v>
      </c>
      <c r="C517" s="157" t="s">
        <v>363</v>
      </c>
      <c r="D517" s="157"/>
      <c r="E517" s="157"/>
      <c r="F517" s="58">
        <v>4425</v>
      </c>
      <c r="G517" s="55">
        <f t="shared" si="36"/>
        <v>4425</v>
      </c>
      <c r="H517" s="55">
        <f t="shared" si="37"/>
        <v>4425</v>
      </c>
      <c r="I517" s="55">
        <f t="shared" si="38"/>
        <v>4646.25</v>
      </c>
    </row>
    <row r="518" spans="2:9" ht="15.75" x14ac:dyDescent="0.25">
      <c r="B518" s="15" t="s">
        <v>334</v>
      </c>
      <c r="C518" s="161" t="s">
        <v>364</v>
      </c>
      <c r="D518" s="161"/>
      <c r="E518" s="161"/>
      <c r="F518" s="56">
        <v>20980</v>
      </c>
      <c r="G518" s="55">
        <f t="shared" si="36"/>
        <v>20980</v>
      </c>
      <c r="H518" s="55">
        <f t="shared" si="37"/>
        <v>20980</v>
      </c>
      <c r="I518" s="55">
        <f t="shared" si="38"/>
        <v>22029</v>
      </c>
    </row>
    <row r="519" spans="2:9" ht="15.75" x14ac:dyDescent="0.25">
      <c r="B519" s="19" t="s">
        <v>335</v>
      </c>
      <c r="C519" s="143" t="s">
        <v>365</v>
      </c>
      <c r="D519" s="143"/>
      <c r="E519" s="143"/>
      <c r="F519" s="57">
        <v>20980</v>
      </c>
      <c r="G519" s="55">
        <f t="shared" si="36"/>
        <v>20980</v>
      </c>
      <c r="H519" s="55">
        <f t="shared" si="37"/>
        <v>20980</v>
      </c>
      <c r="I519" s="55">
        <f t="shared" si="38"/>
        <v>22029</v>
      </c>
    </row>
    <row r="520" spans="2:9" ht="15.75" x14ac:dyDescent="0.25">
      <c r="B520" s="19" t="s">
        <v>336</v>
      </c>
      <c r="C520" s="143" t="s">
        <v>366</v>
      </c>
      <c r="D520" s="143"/>
      <c r="E520" s="143"/>
      <c r="F520" s="57">
        <v>20980</v>
      </c>
      <c r="G520" s="55">
        <f t="shared" si="36"/>
        <v>20980</v>
      </c>
      <c r="H520" s="55">
        <f t="shared" si="37"/>
        <v>20980</v>
      </c>
      <c r="I520" s="55">
        <f t="shared" si="38"/>
        <v>22029</v>
      </c>
    </row>
    <row r="521" spans="2:9" ht="15.75" x14ac:dyDescent="0.25">
      <c r="B521" s="19" t="s">
        <v>337</v>
      </c>
      <c r="C521" s="143" t="s">
        <v>367</v>
      </c>
      <c r="D521" s="143"/>
      <c r="E521" s="143"/>
      <c r="F521" s="57">
        <v>22775</v>
      </c>
      <c r="G521" s="55">
        <f t="shared" si="36"/>
        <v>22775</v>
      </c>
      <c r="H521" s="55">
        <f t="shared" si="37"/>
        <v>22775</v>
      </c>
      <c r="I521" s="55">
        <f t="shared" si="38"/>
        <v>23913.75</v>
      </c>
    </row>
    <row r="522" spans="2:9" ht="16.5" thickBot="1" x14ac:dyDescent="0.3">
      <c r="B522" s="17" t="s">
        <v>338</v>
      </c>
      <c r="C522" s="157" t="s">
        <v>368</v>
      </c>
      <c r="D522" s="157"/>
      <c r="E522" s="157"/>
      <c r="F522" s="58">
        <v>22775</v>
      </c>
      <c r="G522" s="55">
        <f t="shared" si="36"/>
        <v>22775</v>
      </c>
      <c r="H522" s="55">
        <f t="shared" si="37"/>
        <v>22775</v>
      </c>
      <c r="I522" s="55">
        <f t="shared" si="38"/>
        <v>23913.75</v>
      </c>
    </row>
    <row r="523" spans="2:9" ht="15.75" x14ac:dyDescent="0.25">
      <c r="B523" s="38"/>
      <c r="C523" s="38"/>
      <c r="D523" s="101"/>
      <c r="E523" s="38"/>
      <c r="F523" s="69"/>
      <c r="G523" s="70"/>
      <c r="H523" s="70"/>
      <c r="I523" s="70"/>
    </row>
    <row r="524" spans="2:9" ht="21.75" thickBot="1" x14ac:dyDescent="0.4">
      <c r="B524" s="22" t="s">
        <v>315</v>
      </c>
    </row>
    <row r="525" spans="2:9" ht="16.5" thickBot="1" x14ac:dyDescent="0.3">
      <c r="B525" s="12" t="s">
        <v>2</v>
      </c>
      <c r="C525" s="121" t="s">
        <v>3</v>
      </c>
      <c r="D525" s="122"/>
      <c r="E525" s="123"/>
      <c r="F525" s="65" t="s">
        <v>17</v>
      </c>
      <c r="G525" s="83">
        <f>F2</f>
        <v>0</v>
      </c>
      <c r="H525" s="84">
        <f>F3</f>
        <v>0</v>
      </c>
      <c r="I525" s="84">
        <f>F4</f>
        <v>0.05</v>
      </c>
    </row>
    <row r="526" spans="2:9" ht="16.5" thickBot="1" x14ac:dyDescent="0.3">
      <c r="B526" s="29">
        <v>640</v>
      </c>
      <c r="C526" s="161" t="s">
        <v>483</v>
      </c>
      <c r="D526" s="161"/>
      <c r="E526" s="161"/>
      <c r="F526" s="80">
        <v>266200</v>
      </c>
      <c r="G526" s="55">
        <f>$G$2*F526</f>
        <v>266200</v>
      </c>
      <c r="H526" s="55">
        <f>$G$3*G526</f>
        <v>266200</v>
      </c>
      <c r="I526" s="55">
        <f>$G$4*H526</f>
        <v>279510</v>
      </c>
    </row>
    <row r="527" spans="2:9" ht="15.75" x14ac:dyDescent="0.25">
      <c r="B527" s="162">
        <v>641</v>
      </c>
      <c r="C527" s="161" t="s">
        <v>316</v>
      </c>
      <c r="D527" s="161"/>
      <c r="E527" s="161"/>
      <c r="F527" s="158">
        <v>40570</v>
      </c>
      <c r="G527" s="152">
        <f t="shared" ref="G527:G534" si="39">$G$2*F527</f>
        <v>40570</v>
      </c>
      <c r="H527" s="155">
        <f>$G$3*G527</f>
        <v>40570</v>
      </c>
      <c r="I527" s="155">
        <f>$G$4*H527</f>
        <v>42598.5</v>
      </c>
    </row>
    <row r="528" spans="2:9" ht="15.75" x14ac:dyDescent="0.25">
      <c r="B528" s="163"/>
      <c r="C528" s="143" t="s">
        <v>318</v>
      </c>
      <c r="D528" s="143"/>
      <c r="E528" s="143"/>
      <c r="F528" s="159"/>
      <c r="G528" s="153"/>
      <c r="H528" s="189"/>
      <c r="I528" s="189"/>
    </row>
    <row r="529" spans="2:9" ht="16.5" thickBot="1" x14ac:dyDescent="0.3">
      <c r="B529" s="164"/>
      <c r="C529" s="157" t="s">
        <v>317</v>
      </c>
      <c r="D529" s="157"/>
      <c r="E529" s="157"/>
      <c r="F529" s="160"/>
      <c r="G529" s="154"/>
      <c r="H529" s="156"/>
      <c r="I529" s="156"/>
    </row>
    <row r="530" spans="2:9" ht="15.75" x14ac:dyDescent="0.25">
      <c r="B530" s="162">
        <v>642</v>
      </c>
      <c r="C530" s="161" t="s">
        <v>319</v>
      </c>
      <c r="D530" s="161"/>
      <c r="E530" s="161"/>
      <c r="F530" s="158">
        <v>32230</v>
      </c>
      <c r="G530" s="152">
        <f t="shared" si="39"/>
        <v>32230</v>
      </c>
      <c r="H530" s="155">
        <f>$G$3*G530</f>
        <v>32230</v>
      </c>
      <c r="I530" s="155">
        <f>$G$4*H530</f>
        <v>33841.5</v>
      </c>
    </row>
    <row r="531" spans="2:9" ht="16.5" thickBot="1" x14ac:dyDescent="0.3">
      <c r="B531" s="164"/>
      <c r="C531" s="157" t="s">
        <v>320</v>
      </c>
      <c r="D531" s="157"/>
      <c r="E531" s="157"/>
      <c r="F531" s="160"/>
      <c r="G531" s="154"/>
      <c r="H531" s="156"/>
      <c r="I531" s="156"/>
    </row>
    <row r="532" spans="2:9" ht="15.75" x14ac:dyDescent="0.25">
      <c r="B532" s="162">
        <v>643</v>
      </c>
      <c r="C532" s="161" t="s">
        <v>319</v>
      </c>
      <c r="D532" s="161"/>
      <c r="E532" s="161"/>
      <c r="F532" s="158">
        <v>27160</v>
      </c>
      <c r="G532" s="152">
        <f t="shared" si="39"/>
        <v>27160</v>
      </c>
      <c r="H532" s="155">
        <f>$G$3*G532</f>
        <v>27160</v>
      </c>
      <c r="I532" s="155">
        <f>$G$4*H532</f>
        <v>28518</v>
      </c>
    </row>
    <row r="533" spans="2:9" ht="16.5" thickBot="1" x14ac:dyDescent="0.3">
      <c r="B533" s="164"/>
      <c r="C533" s="157" t="s">
        <v>321</v>
      </c>
      <c r="D533" s="157"/>
      <c r="E533" s="157"/>
      <c r="F533" s="160"/>
      <c r="G533" s="154"/>
      <c r="H533" s="156"/>
      <c r="I533" s="156"/>
    </row>
    <row r="534" spans="2:9" ht="15.75" x14ac:dyDescent="0.25">
      <c r="B534" s="162">
        <v>644</v>
      </c>
      <c r="C534" s="161" t="s">
        <v>316</v>
      </c>
      <c r="D534" s="161"/>
      <c r="E534" s="161"/>
      <c r="F534" s="158">
        <v>36575</v>
      </c>
      <c r="G534" s="152">
        <f t="shared" si="39"/>
        <v>36575</v>
      </c>
      <c r="H534" s="155">
        <f>$G$3*G534</f>
        <v>36575</v>
      </c>
      <c r="I534" s="155">
        <f>$G$4*H534</f>
        <v>38403.75</v>
      </c>
    </row>
    <row r="535" spans="2:9" ht="16.5" thickBot="1" x14ac:dyDescent="0.3">
      <c r="B535" s="164"/>
      <c r="C535" s="157" t="s">
        <v>478</v>
      </c>
      <c r="D535" s="157"/>
      <c r="E535" s="157"/>
      <c r="F535" s="160"/>
      <c r="G535" s="154"/>
      <c r="H535" s="156"/>
      <c r="I535" s="156"/>
    </row>
    <row r="536" spans="2:9" ht="15.75" x14ac:dyDescent="0.25">
      <c r="B536" s="115"/>
      <c r="C536" s="114"/>
      <c r="D536" s="114"/>
      <c r="E536" s="114"/>
      <c r="F536" s="78"/>
      <c r="G536" s="79"/>
      <c r="H536" s="79"/>
      <c r="I536" s="79"/>
    </row>
    <row r="537" spans="2:9" ht="15.75" x14ac:dyDescent="0.25">
      <c r="B537" s="115"/>
      <c r="C537" s="114"/>
      <c r="D537" s="114"/>
      <c r="E537" s="114"/>
      <c r="F537" s="78"/>
      <c r="G537" s="79"/>
      <c r="H537" s="79"/>
      <c r="I537" s="79"/>
    </row>
    <row r="538" spans="2:9" ht="15.75" x14ac:dyDescent="0.25">
      <c r="B538" s="115"/>
      <c r="C538" s="114"/>
      <c r="D538" s="114"/>
      <c r="E538" s="114"/>
      <c r="F538" s="78"/>
      <c r="G538" s="79"/>
      <c r="H538" s="79"/>
      <c r="I538" s="79"/>
    </row>
    <row r="539" spans="2:9" ht="15.75" x14ac:dyDescent="0.25">
      <c r="B539" s="115"/>
      <c r="C539" s="114"/>
      <c r="D539" s="114"/>
      <c r="E539" s="114"/>
      <c r="F539" s="78"/>
      <c r="G539" s="79"/>
      <c r="H539" s="79"/>
      <c r="I539" s="79"/>
    </row>
    <row r="540" spans="2:9" ht="15.75" thickBot="1" x14ac:dyDescent="0.3">
      <c r="B540" s="3"/>
      <c r="C540" s="3"/>
      <c r="D540" s="3"/>
      <c r="E540" s="3"/>
      <c r="F540" s="66"/>
      <c r="G540" s="67"/>
      <c r="H540" s="92"/>
      <c r="I540" s="67"/>
    </row>
    <row r="541" spans="2:9" ht="15.75" thickTop="1" x14ac:dyDescent="0.25">
      <c r="B541" s="6">
        <v>0.75</v>
      </c>
      <c r="C541" s="188" t="s">
        <v>64</v>
      </c>
      <c r="D541" s="188"/>
      <c r="E541" s="188"/>
      <c r="F541" s="188"/>
      <c r="G541" s="188"/>
      <c r="H541" s="188"/>
      <c r="I541" s="88" t="s">
        <v>499</v>
      </c>
    </row>
    <row r="542" spans="2:9" x14ac:dyDescent="0.25">
      <c r="B542" s="6"/>
      <c r="C542" s="8"/>
      <c r="D542" s="8"/>
      <c r="E542" s="8"/>
      <c r="F542" s="74"/>
      <c r="G542" s="75"/>
      <c r="H542" s="94"/>
      <c r="I542" s="68"/>
    </row>
    <row r="543" spans="2:9" ht="15.75" thickBot="1" x14ac:dyDescent="0.3">
      <c r="B543" s="128"/>
      <c r="C543" s="128"/>
      <c r="D543" s="106"/>
      <c r="F543" s="45" t="s">
        <v>477</v>
      </c>
    </row>
    <row r="544" spans="2:9" ht="15" customHeight="1" x14ac:dyDescent="0.25">
      <c r="B544" s="128"/>
      <c r="C544" s="128"/>
      <c r="D544" s="106"/>
      <c r="E544" s="129" t="s">
        <v>523</v>
      </c>
      <c r="F544" s="130"/>
      <c r="G544" s="133" t="s">
        <v>508</v>
      </c>
      <c r="H544" s="133"/>
      <c r="I544" s="133"/>
    </row>
    <row r="545" spans="2:9" ht="9.75" customHeight="1" x14ac:dyDescent="0.25">
      <c r="B545" s="128"/>
      <c r="C545" s="128"/>
      <c r="D545" s="106"/>
      <c r="E545" s="131"/>
      <c r="F545" s="132"/>
      <c r="G545" s="108"/>
      <c r="H545" s="108"/>
      <c r="I545" s="108"/>
    </row>
    <row r="546" spans="2:9" ht="15" customHeight="1" x14ac:dyDescent="0.25">
      <c r="B546" s="128"/>
      <c r="C546" s="128"/>
      <c r="D546" s="106"/>
      <c r="E546" s="131"/>
      <c r="F546" s="132"/>
      <c r="G546" s="133" t="s">
        <v>503</v>
      </c>
      <c r="H546" s="133"/>
      <c r="I546" s="133"/>
    </row>
    <row r="547" spans="2:9" ht="9.75" customHeight="1" x14ac:dyDescent="0.25">
      <c r="B547" s="128"/>
      <c r="C547" s="128"/>
      <c r="D547" s="106"/>
      <c r="E547" s="134" t="s">
        <v>522</v>
      </c>
      <c r="F547" s="135"/>
      <c r="G547" s="107"/>
      <c r="H547" s="107"/>
      <c r="I547" s="107"/>
    </row>
    <row r="548" spans="2:9" ht="19.5" customHeight="1" thickBot="1" x14ac:dyDescent="0.3">
      <c r="B548" s="128"/>
      <c r="C548" s="128"/>
      <c r="D548" s="106"/>
      <c r="E548" s="136"/>
      <c r="F548" s="137"/>
      <c r="G548" s="138" t="s">
        <v>502</v>
      </c>
      <c r="H548" s="138"/>
      <c r="I548" s="138"/>
    </row>
    <row r="549" spans="2:9" x14ac:dyDescent="0.25">
      <c r="B549" s="128"/>
      <c r="C549" s="128"/>
      <c r="D549" s="106"/>
      <c r="E549" s="41"/>
      <c r="F549" s="46"/>
      <c r="G549" s="46"/>
      <c r="H549" s="89"/>
      <c r="I549" s="46"/>
    </row>
    <row r="550" spans="2:9" ht="18.75" customHeight="1" x14ac:dyDescent="0.25">
      <c r="B550" s="124" t="s">
        <v>525</v>
      </c>
      <c r="C550" s="124"/>
      <c r="D550" s="125" t="s">
        <v>521</v>
      </c>
      <c r="E550" s="125"/>
      <c r="F550" s="125"/>
      <c r="G550" s="126" t="str">
        <f>(C1)</f>
        <v>Lista N°97 - NOVIEMBRE 2024</v>
      </c>
      <c r="H550" s="126"/>
      <c r="I550" s="126"/>
    </row>
    <row r="551" spans="2:9" ht="21" customHeight="1" x14ac:dyDescent="0.3">
      <c r="B551" s="127" t="s">
        <v>524</v>
      </c>
      <c r="C551" s="127"/>
      <c r="D551" s="125"/>
      <c r="E551" s="125"/>
      <c r="F551" s="125"/>
      <c r="G551" s="126"/>
      <c r="H551" s="126"/>
      <c r="I551" s="126"/>
    </row>
    <row r="552" spans="2:9" s="112" customFormat="1" ht="24" customHeight="1" x14ac:dyDescent="0.3">
      <c r="B552" s="109"/>
      <c r="C552" s="109"/>
      <c r="D552" s="110"/>
      <c r="E552" s="110"/>
      <c r="F552" s="110"/>
      <c r="G552" s="111"/>
      <c r="H552" s="111"/>
      <c r="I552" s="111"/>
    </row>
    <row r="553" spans="2:9" ht="23.25" x14ac:dyDescent="0.35">
      <c r="B553" s="165" t="s">
        <v>369</v>
      </c>
      <c r="C553" s="166"/>
      <c r="D553" s="166"/>
      <c r="E553" s="166"/>
      <c r="F553" s="166"/>
      <c r="G553" s="166"/>
      <c r="H553" s="166"/>
      <c r="I553" s="167"/>
    </row>
    <row r="554" spans="2:9" s="112" customFormat="1" ht="16.5" customHeight="1" x14ac:dyDescent="0.35">
      <c r="B554" s="113"/>
      <c r="C554" s="113"/>
      <c r="D554" s="113"/>
      <c r="E554" s="113"/>
      <c r="F554" s="113"/>
      <c r="G554" s="113"/>
      <c r="H554" s="113"/>
      <c r="I554" s="113"/>
    </row>
    <row r="555" spans="2:9" ht="21.75" thickBot="1" x14ac:dyDescent="0.4">
      <c r="B555" s="22" t="s">
        <v>466</v>
      </c>
      <c r="G555" s="52" t="s">
        <v>6</v>
      </c>
      <c r="H555" s="52" t="s">
        <v>7</v>
      </c>
      <c r="I555" s="52" t="s">
        <v>461</v>
      </c>
    </row>
    <row r="556" spans="2:9" ht="16.5" thickBot="1" x14ac:dyDescent="0.3">
      <c r="B556" s="12" t="s">
        <v>2</v>
      </c>
      <c r="C556" s="121" t="s">
        <v>3</v>
      </c>
      <c r="D556" s="122"/>
      <c r="E556" s="123"/>
      <c r="F556" s="65" t="s">
        <v>17</v>
      </c>
      <c r="G556" s="83">
        <f>F2</f>
        <v>0</v>
      </c>
      <c r="H556" s="84">
        <f>F3</f>
        <v>0</v>
      </c>
      <c r="I556" s="84">
        <f>F4</f>
        <v>0.05</v>
      </c>
    </row>
    <row r="557" spans="2:9" ht="15.75" x14ac:dyDescent="0.25">
      <c r="B557" s="15" t="s">
        <v>370</v>
      </c>
      <c r="C557" s="144" t="s">
        <v>480</v>
      </c>
      <c r="D557" s="161"/>
      <c r="E557" s="145"/>
      <c r="F557" s="56">
        <v>897750</v>
      </c>
      <c r="G557" s="55">
        <f>$G$2*F557</f>
        <v>897750</v>
      </c>
      <c r="H557" s="55">
        <f>$G$3*G557</f>
        <v>897750</v>
      </c>
      <c r="I557" s="55">
        <f>$G$4*H557</f>
        <v>942637.5</v>
      </c>
    </row>
    <row r="558" spans="2:9" ht="15.75" x14ac:dyDescent="0.25">
      <c r="B558" s="19" t="s">
        <v>371</v>
      </c>
      <c r="C558" s="139" t="s">
        <v>479</v>
      </c>
      <c r="D558" s="143"/>
      <c r="E558" s="140"/>
      <c r="F558" s="57">
        <v>1064250</v>
      </c>
      <c r="G558" s="55">
        <f>$G$2*F558</f>
        <v>1064250</v>
      </c>
      <c r="H558" s="55">
        <f>$G$3*G558</f>
        <v>1064250</v>
      </c>
      <c r="I558" s="55">
        <f>$G$4*H558</f>
        <v>1117462.5</v>
      </c>
    </row>
    <row r="559" spans="2:9" ht="16.5" thickBot="1" x14ac:dyDescent="0.3">
      <c r="B559" s="17" t="s">
        <v>372</v>
      </c>
      <c r="C559" s="141" t="s">
        <v>481</v>
      </c>
      <c r="D559" s="157"/>
      <c r="E559" s="142"/>
      <c r="F559" s="58">
        <v>2722500</v>
      </c>
      <c r="G559" s="55">
        <f>$G$2*F559</f>
        <v>2722500</v>
      </c>
      <c r="H559" s="55">
        <f>$G$3*G559</f>
        <v>2722500</v>
      </c>
      <c r="I559" s="55">
        <f>$G$4*H559</f>
        <v>2858625</v>
      </c>
    </row>
    <row r="560" spans="2:9" x14ac:dyDescent="0.25">
      <c r="G560" s="77"/>
      <c r="I560" s="77"/>
    </row>
    <row r="561" spans="2:9" ht="21.75" thickBot="1" x14ac:dyDescent="0.4">
      <c r="B561" s="22" t="s">
        <v>467</v>
      </c>
      <c r="G561" s="77"/>
      <c r="I561" s="77"/>
    </row>
    <row r="562" spans="2:9" ht="16.5" thickBot="1" x14ac:dyDescent="0.3">
      <c r="B562" s="12" t="s">
        <v>2</v>
      </c>
      <c r="C562" s="121" t="s">
        <v>3</v>
      </c>
      <c r="D562" s="122"/>
      <c r="E562" s="123"/>
      <c r="F562" s="65" t="s">
        <v>17</v>
      </c>
      <c r="G562" s="83">
        <f>F2</f>
        <v>0</v>
      </c>
      <c r="H562" s="84">
        <f>F3</f>
        <v>0</v>
      </c>
      <c r="I562" s="84">
        <f>F4</f>
        <v>0.05</v>
      </c>
    </row>
    <row r="563" spans="2:9" ht="15.75" x14ac:dyDescent="0.25">
      <c r="B563" s="15" t="s">
        <v>489</v>
      </c>
      <c r="C563" s="144" t="s">
        <v>490</v>
      </c>
      <c r="D563" s="161"/>
      <c r="E563" s="145"/>
      <c r="F563" s="56">
        <v>2295000</v>
      </c>
      <c r="G563" s="55">
        <f>$G$2*F563</f>
        <v>2295000</v>
      </c>
      <c r="H563" s="55">
        <f>$G$3*G563</f>
        <v>2295000</v>
      </c>
      <c r="I563" s="55">
        <f>$G$4*H563</f>
        <v>2409750</v>
      </c>
    </row>
    <row r="564" spans="2:9" ht="15.75" x14ac:dyDescent="0.25">
      <c r="B564" s="19" t="s">
        <v>373</v>
      </c>
      <c r="C564" s="139" t="s">
        <v>382</v>
      </c>
      <c r="D564" s="143"/>
      <c r="E564" s="140"/>
      <c r="F564" s="57">
        <v>2925000</v>
      </c>
      <c r="G564" s="55">
        <f>$G$2*F564</f>
        <v>2925000</v>
      </c>
      <c r="H564" s="55">
        <f>$G$3*G564</f>
        <v>2925000</v>
      </c>
      <c r="I564" s="55">
        <f>$G$4*H564</f>
        <v>3071250</v>
      </c>
    </row>
    <row r="565" spans="2:9" ht="16.5" thickBot="1" x14ac:dyDescent="0.3">
      <c r="B565" s="17" t="s">
        <v>374</v>
      </c>
      <c r="C565" s="141" t="s">
        <v>383</v>
      </c>
      <c r="D565" s="157"/>
      <c r="E565" s="142"/>
      <c r="F565" s="58">
        <v>3847500</v>
      </c>
      <c r="G565" s="55">
        <f>$G$2*F565</f>
        <v>3847500</v>
      </c>
      <c r="H565" s="55">
        <f>$G$3*G565</f>
        <v>3847500</v>
      </c>
      <c r="I565" s="55">
        <f>$G$4*H565</f>
        <v>4039875</v>
      </c>
    </row>
    <row r="566" spans="2:9" x14ac:dyDescent="0.25">
      <c r="G566" s="77"/>
      <c r="I566" s="77"/>
    </row>
    <row r="567" spans="2:9" ht="21.75" thickBot="1" x14ac:dyDescent="0.4">
      <c r="B567" s="22" t="s">
        <v>375</v>
      </c>
      <c r="G567" s="77"/>
      <c r="I567" s="77"/>
    </row>
    <row r="568" spans="2:9" ht="16.5" thickBot="1" x14ac:dyDescent="0.3">
      <c r="B568" s="12" t="s">
        <v>2</v>
      </c>
      <c r="C568" s="121" t="s">
        <v>3</v>
      </c>
      <c r="D568" s="122"/>
      <c r="E568" s="123"/>
      <c r="F568" s="65" t="s">
        <v>17</v>
      </c>
      <c r="G568" s="83">
        <f>F2</f>
        <v>0</v>
      </c>
      <c r="H568" s="84">
        <f>F3</f>
        <v>0</v>
      </c>
      <c r="I568" s="84">
        <f>F4</f>
        <v>0.05</v>
      </c>
    </row>
    <row r="569" spans="2:9" ht="15.75" x14ac:dyDescent="0.25">
      <c r="B569" s="19" t="s">
        <v>376</v>
      </c>
      <c r="C569" s="139" t="s">
        <v>379</v>
      </c>
      <c r="D569" s="143"/>
      <c r="E569" s="140"/>
      <c r="F569" s="57">
        <v>58155</v>
      </c>
      <c r="G569" s="55">
        <f>$G$2*F569</f>
        <v>58155</v>
      </c>
      <c r="H569" s="55">
        <f>$G$3*G569</f>
        <v>58155</v>
      </c>
      <c r="I569" s="55">
        <f>$G$4*H569</f>
        <v>61062.75</v>
      </c>
    </row>
    <row r="570" spans="2:9" ht="15.75" x14ac:dyDescent="0.25">
      <c r="B570" s="19" t="s">
        <v>377</v>
      </c>
      <c r="C570" s="139" t="s">
        <v>380</v>
      </c>
      <c r="D570" s="143"/>
      <c r="E570" s="140"/>
      <c r="F570" s="57">
        <v>78825</v>
      </c>
      <c r="G570" s="55">
        <f>$G$2*F570</f>
        <v>78825</v>
      </c>
      <c r="H570" s="55">
        <f>$G$3*G570</f>
        <v>78825</v>
      </c>
      <c r="I570" s="55">
        <f>$G$4*H570</f>
        <v>82766.25</v>
      </c>
    </row>
    <row r="571" spans="2:9" ht="15.75" x14ac:dyDescent="0.25">
      <c r="B571" s="19" t="s">
        <v>378</v>
      </c>
      <c r="C571" s="139" t="s">
        <v>381</v>
      </c>
      <c r="D571" s="143"/>
      <c r="E571" s="140"/>
      <c r="F571" s="57">
        <v>103760</v>
      </c>
      <c r="G571" s="55">
        <f>$G$2*F571</f>
        <v>103760</v>
      </c>
      <c r="H571" s="55">
        <f>$G$3*G571</f>
        <v>103760</v>
      </c>
      <c r="I571" s="55">
        <f>$G$4*H571</f>
        <v>108948</v>
      </c>
    </row>
    <row r="572" spans="2:9" ht="16.5" thickBot="1" x14ac:dyDescent="0.3">
      <c r="B572" s="17" t="s">
        <v>506</v>
      </c>
      <c r="C572" s="141" t="s">
        <v>507</v>
      </c>
      <c r="D572" s="157"/>
      <c r="E572" s="142"/>
      <c r="F572" s="58">
        <v>132290</v>
      </c>
      <c r="G572" s="54">
        <f>$G$2*F572</f>
        <v>132290</v>
      </c>
      <c r="H572" s="55">
        <f>$G$3*G572</f>
        <v>132290</v>
      </c>
      <c r="I572" s="55">
        <f>$G$4*H572</f>
        <v>138904.5</v>
      </c>
    </row>
    <row r="573" spans="2:9" x14ac:dyDescent="0.25">
      <c r="G573" s="77"/>
      <c r="I573" s="77"/>
    </row>
    <row r="574" spans="2:9" ht="21.75" thickBot="1" x14ac:dyDescent="0.4">
      <c r="B574" s="21" t="s">
        <v>384</v>
      </c>
      <c r="G574" s="77"/>
      <c r="I574" s="77"/>
    </row>
    <row r="575" spans="2:9" ht="16.5" thickBot="1" x14ac:dyDescent="0.3">
      <c r="B575" s="12" t="s">
        <v>2</v>
      </c>
      <c r="C575" s="121" t="s">
        <v>3</v>
      </c>
      <c r="D575" s="123"/>
      <c r="E575" s="13" t="s">
        <v>385</v>
      </c>
      <c r="F575" s="65" t="s">
        <v>17</v>
      </c>
      <c r="G575" s="83">
        <f>F2</f>
        <v>0</v>
      </c>
      <c r="H575" s="84">
        <f>F3</f>
        <v>0</v>
      </c>
      <c r="I575" s="84">
        <f>F4</f>
        <v>0.05</v>
      </c>
    </row>
    <row r="576" spans="2:9" ht="15.75" x14ac:dyDescent="0.25">
      <c r="B576" s="14" t="s">
        <v>386</v>
      </c>
      <c r="C576" s="144" t="s">
        <v>399</v>
      </c>
      <c r="D576" s="145"/>
      <c r="E576" s="15">
        <v>210</v>
      </c>
      <c r="F576" s="56">
        <v>272250</v>
      </c>
      <c r="G576" s="55">
        <f>$G$2*F576</f>
        <v>272250</v>
      </c>
      <c r="H576" s="55">
        <f t="shared" ref="H576:H588" si="40">$G$3*G576</f>
        <v>272250</v>
      </c>
      <c r="I576" s="55">
        <f>$G$4*H576</f>
        <v>285862.5</v>
      </c>
    </row>
    <row r="577" spans="2:9" ht="15.75" x14ac:dyDescent="0.25">
      <c r="B577" s="18" t="s">
        <v>387</v>
      </c>
      <c r="C577" s="139" t="s">
        <v>400</v>
      </c>
      <c r="D577" s="140"/>
      <c r="E577" s="19">
        <v>220</v>
      </c>
      <c r="F577" s="57">
        <v>330750</v>
      </c>
      <c r="G577" s="55">
        <f t="shared" ref="G577:G588" si="41">$G$2*F577</f>
        <v>330750</v>
      </c>
      <c r="H577" s="55">
        <f t="shared" si="40"/>
        <v>330750</v>
      </c>
      <c r="I577" s="55">
        <f t="shared" ref="I577:I588" si="42">$G$4*H577</f>
        <v>347287.5</v>
      </c>
    </row>
    <row r="578" spans="2:9" ht="15.75" x14ac:dyDescent="0.25">
      <c r="B578" s="18" t="s">
        <v>388</v>
      </c>
      <c r="C578" s="139" t="s">
        <v>401</v>
      </c>
      <c r="D578" s="140"/>
      <c r="E578" s="19">
        <v>230</v>
      </c>
      <c r="F578" s="57">
        <v>402750</v>
      </c>
      <c r="G578" s="55">
        <f t="shared" si="41"/>
        <v>402750</v>
      </c>
      <c r="H578" s="55">
        <f t="shared" si="40"/>
        <v>402750</v>
      </c>
      <c r="I578" s="55">
        <f t="shared" si="42"/>
        <v>422887.5</v>
      </c>
    </row>
    <row r="579" spans="2:9" ht="15.75" x14ac:dyDescent="0.25">
      <c r="B579" s="18" t="s">
        <v>389</v>
      </c>
      <c r="C579" s="139" t="s">
        <v>402</v>
      </c>
      <c r="D579" s="140"/>
      <c r="E579" s="18">
        <v>240</v>
      </c>
      <c r="F579" s="57">
        <v>544500</v>
      </c>
      <c r="G579" s="55">
        <f t="shared" si="41"/>
        <v>544500</v>
      </c>
      <c r="H579" s="55">
        <f t="shared" si="40"/>
        <v>544500</v>
      </c>
      <c r="I579" s="55">
        <f t="shared" si="42"/>
        <v>571725</v>
      </c>
    </row>
    <row r="580" spans="2:9" ht="15.75" x14ac:dyDescent="0.25">
      <c r="B580" s="18" t="s">
        <v>390</v>
      </c>
      <c r="C580" s="139" t="s">
        <v>403</v>
      </c>
      <c r="D580" s="140"/>
      <c r="E580" s="18">
        <v>250</v>
      </c>
      <c r="F580" s="57">
        <v>567000</v>
      </c>
      <c r="G580" s="55">
        <f t="shared" si="41"/>
        <v>567000</v>
      </c>
      <c r="H580" s="55">
        <f t="shared" si="40"/>
        <v>567000</v>
      </c>
      <c r="I580" s="55">
        <f t="shared" si="42"/>
        <v>595350</v>
      </c>
    </row>
    <row r="581" spans="2:9" ht="16.5" thickBot="1" x14ac:dyDescent="0.3">
      <c r="B581" s="16" t="s">
        <v>391</v>
      </c>
      <c r="C581" s="141" t="s">
        <v>404</v>
      </c>
      <c r="D581" s="142"/>
      <c r="E581" s="16">
        <v>260</v>
      </c>
      <c r="F581" s="58">
        <v>614250</v>
      </c>
      <c r="G581" s="55">
        <f t="shared" si="41"/>
        <v>614250</v>
      </c>
      <c r="H581" s="55">
        <f t="shared" si="40"/>
        <v>614250</v>
      </c>
      <c r="I581" s="55">
        <f t="shared" si="42"/>
        <v>644962.5</v>
      </c>
    </row>
    <row r="582" spans="2:9" ht="15.75" x14ac:dyDescent="0.25">
      <c r="B582" s="14" t="s">
        <v>392</v>
      </c>
      <c r="C582" s="144" t="s">
        <v>405</v>
      </c>
      <c r="D582" s="145"/>
      <c r="E582" s="14">
        <v>155</v>
      </c>
      <c r="F582" s="56">
        <v>567000</v>
      </c>
      <c r="G582" s="55">
        <f t="shared" si="41"/>
        <v>567000</v>
      </c>
      <c r="H582" s="55">
        <f t="shared" si="40"/>
        <v>567000</v>
      </c>
      <c r="I582" s="55">
        <f t="shared" si="42"/>
        <v>595350</v>
      </c>
    </row>
    <row r="583" spans="2:9" ht="15.75" x14ac:dyDescent="0.25">
      <c r="B583" s="18" t="s">
        <v>393</v>
      </c>
      <c r="C583" s="139" t="s">
        <v>406</v>
      </c>
      <c r="D583" s="140"/>
      <c r="E583" s="18">
        <v>170</v>
      </c>
      <c r="F583" s="57">
        <v>877500</v>
      </c>
      <c r="G583" s="55">
        <f t="shared" si="41"/>
        <v>877500</v>
      </c>
      <c r="H583" s="55">
        <f t="shared" si="40"/>
        <v>877500</v>
      </c>
      <c r="I583" s="55">
        <f t="shared" si="42"/>
        <v>921375</v>
      </c>
    </row>
    <row r="584" spans="2:9" ht="16.5" thickBot="1" x14ac:dyDescent="0.3">
      <c r="B584" s="16" t="s">
        <v>394</v>
      </c>
      <c r="C584" s="141" t="s">
        <v>407</v>
      </c>
      <c r="D584" s="142"/>
      <c r="E584" s="16">
        <v>190</v>
      </c>
      <c r="F584" s="58">
        <v>1086750</v>
      </c>
      <c r="G584" s="55">
        <f t="shared" si="41"/>
        <v>1086750</v>
      </c>
      <c r="H584" s="55">
        <f t="shared" si="40"/>
        <v>1086750</v>
      </c>
      <c r="I584" s="55">
        <f t="shared" si="42"/>
        <v>1141087.5</v>
      </c>
    </row>
    <row r="585" spans="2:9" ht="15.75" x14ac:dyDescent="0.25">
      <c r="B585" s="14" t="s">
        <v>395</v>
      </c>
      <c r="C585" s="144" t="s">
        <v>408</v>
      </c>
      <c r="D585" s="145"/>
      <c r="E585" s="14">
        <v>195</v>
      </c>
      <c r="F585" s="56">
        <v>283500</v>
      </c>
      <c r="G585" s="55">
        <f t="shared" si="41"/>
        <v>283500</v>
      </c>
      <c r="H585" s="55">
        <f t="shared" si="40"/>
        <v>283500</v>
      </c>
      <c r="I585" s="55">
        <f t="shared" si="42"/>
        <v>297675</v>
      </c>
    </row>
    <row r="586" spans="2:9" ht="15.75" x14ac:dyDescent="0.25">
      <c r="B586" s="18" t="s">
        <v>396</v>
      </c>
      <c r="C586" s="139" t="s">
        <v>409</v>
      </c>
      <c r="D586" s="140"/>
      <c r="E586" s="18">
        <v>210</v>
      </c>
      <c r="F586" s="57">
        <v>330750</v>
      </c>
      <c r="G586" s="55">
        <f t="shared" si="41"/>
        <v>330750</v>
      </c>
      <c r="H586" s="55">
        <f t="shared" si="40"/>
        <v>330750</v>
      </c>
      <c r="I586" s="55">
        <f t="shared" si="42"/>
        <v>347287.5</v>
      </c>
    </row>
    <row r="587" spans="2:9" ht="15.75" x14ac:dyDescent="0.25">
      <c r="B587" s="18" t="s">
        <v>397</v>
      </c>
      <c r="C587" s="139" t="s">
        <v>410</v>
      </c>
      <c r="D587" s="140"/>
      <c r="E587" s="18">
        <v>220</v>
      </c>
      <c r="F587" s="57">
        <v>405000</v>
      </c>
      <c r="G587" s="55">
        <f t="shared" si="41"/>
        <v>405000</v>
      </c>
      <c r="H587" s="55">
        <f t="shared" si="40"/>
        <v>405000</v>
      </c>
      <c r="I587" s="55">
        <f t="shared" si="42"/>
        <v>425250</v>
      </c>
    </row>
    <row r="588" spans="2:9" ht="16.5" thickBot="1" x14ac:dyDescent="0.3">
      <c r="B588" s="16" t="s">
        <v>398</v>
      </c>
      <c r="C588" s="141" t="s">
        <v>411</v>
      </c>
      <c r="D588" s="142"/>
      <c r="E588" s="16">
        <v>240</v>
      </c>
      <c r="F588" s="58">
        <v>495000</v>
      </c>
      <c r="G588" s="55">
        <f t="shared" si="41"/>
        <v>495000</v>
      </c>
      <c r="H588" s="55">
        <f t="shared" si="40"/>
        <v>495000</v>
      </c>
      <c r="I588" s="55">
        <f t="shared" si="42"/>
        <v>519750</v>
      </c>
    </row>
    <row r="590" spans="2:9" ht="21.75" thickBot="1" x14ac:dyDescent="0.4">
      <c r="B590" s="21" t="s">
        <v>412</v>
      </c>
    </row>
    <row r="591" spans="2:9" ht="16.5" thickBot="1" x14ac:dyDescent="0.3">
      <c r="B591" s="12" t="s">
        <v>2</v>
      </c>
      <c r="C591" s="121" t="s">
        <v>3</v>
      </c>
      <c r="D591" s="122"/>
      <c r="E591" s="123"/>
      <c r="F591" s="65" t="s">
        <v>17</v>
      </c>
      <c r="G591" s="83">
        <f>F2</f>
        <v>0</v>
      </c>
      <c r="H591" s="84">
        <f>F3</f>
        <v>0</v>
      </c>
      <c r="I591" s="84">
        <f>F4</f>
        <v>0.05</v>
      </c>
    </row>
    <row r="592" spans="2:9" ht="16.5" thickBot="1" x14ac:dyDescent="0.3">
      <c r="B592" s="12">
        <v>290</v>
      </c>
      <c r="C592" s="121" t="s">
        <v>412</v>
      </c>
      <c r="D592" s="122"/>
      <c r="E592" s="123"/>
      <c r="F592" s="65">
        <v>24380</v>
      </c>
      <c r="G592" s="55">
        <f>$G$2*F592</f>
        <v>24380</v>
      </c>
      <c r="H592" s="55">
        <f>$G$3*G592</f>
        <v>24380</v>
      </c>
      <c r="I592" s="55">
        <f>$G$4*H592</f>
        <v>25599</v>
      </c>
    </row>
    <row r="593" spans="2:9" ht="15.75" x14ac:dyDescent="0.25">
      <c r="B593" s="114"/>
      <c r="C593" s="114"/>
      <c r="D593" s="114"/>
      <c r="E593" s="114"/>
      <c r="F593" s="69"/>
      <c r="G593" s="70"/>
      <c r="H593" s="70"/>
      <c r="I593" s="70"/>
    </row>
    <row r="594" spans="2:9" ht="15.75" x14ac:dyDescent="0.25">
      <c r="B594" s="114"/>
      <c r="C594" s="114"/>
      <c r="D594" s="114"/>
      <c r="E594" s="114"/>
      <c r="F594" s="69"/>
      <c r="G594" s="70"/>
      <c r="H594" s="70"/>
      <c r="I594" s="70"/>
    </row>
    <row r="595" spans="2:9" ht="15.75" x14ac:dyDescent="0.25">
      <c r="B595" s="114"/>
      <c r="C595" s="114"/>
      <c r="D595" s="114"/>
      <c r="E595" s="114"/>
      <c r="F595" s="69"/>
      <c r="G595" s="70"/>
      <c r="H595" s="70"/>
      <c r="I595" s="70"/>
    </row>
    <row r="596" spans="2:9" ht="15.75" x14ac:dyDescent="0.25">
      <c r="B596" s="114"/>
      <c r="C596" s="114"/>
      <c r="D596" s="114"/>
      <c r="E596" s="114"/>
      <c r="F596" s="69"/>
      <c r="G596" s="70"/>
      <c r="H596" s="70"/>
      <c r="I596" s="70"/>
    </row>
    <row r="597" spans="2:9" ht="15.75" x14ac:dyDescent="0.25">
      <c r="B597" s="114"/>
      <c r="C597" s="114"/>
      <c r="D597" s="114"/>
      <c r="E597" s="114"/>
      <c r="F597" s="69"/>
      <c r="G597" s="70"/>
      <c r="H597" s="70"/>
      <c r="I597" s="70"/>
    </row>
    <row r="598" spans="2:9" ht="15.75" x14ac:dyDescent="0.25">
      <c r="B598" s="114"/>
      <c r="C598" s="114"/>
      <c r="D598" s="114"/>
      <c r="E598" s="114"/>
      <c r="F598" s="69"/>
      <c r="G598" s="70"/>
      <c r="H598" s="70"/>
      <c r="I598" s="70"/>
    </row>
    <row r="599" spans="2:9" ht="15.75" x14ac:dyDescent="0.25">
      <c r="B599" s="114"/>
      <c r="C599" s="114"/>
      <c r="D599" s="114"/>
      <c r="E599" s="114"/>
      <c r="F599" s="69"/>
      <c r="G599" s="70"/>
      <c r="H599" s="70"/>
      <c r="I599" s="70"/>
    </row>
    <row r="600" spans="2:9" ht="15.75" x14ac:dyDescent="0.25">
      <c r="B600" s="114"/>
      <c r="C600" s="114"/>
      <c r="D600" s="114"/>
      <c r="E600" s="114"/>
      <c r="F600" s="69"/>
      <c r="G600" s="70"/>
      <c r="H600" s="70"/>
      <c r="I600" s="70"/>
    </row>
    <row r="601" spans="2:9" ht="15.75" x14ac:dyDescent="0.25">
      <c r="B601" s="114"/>
      <c r="C601" s="114"/>
      <c r="D601" s="114"/>
      <c r="E601" s="114"/>
      <c r="F601" s="69"/>
      <c r="G601" s="70"/>
      <c r="H601" s="70"/>
      <c r="I601" s="70"/>
    </row>
    <row r="602" spans="2:9" ht="15.75" x14ac:dyDescent="0.25">
      <c r="B602" s="114"/>
      <c r="C602" s="114"/>
      <c r="D602" s="114"/>
      <c r="E602" s="114"/>
      <c r="F602" s="69"/>
      <c r="G602" s="70"/>
      <c r="H602" s="70"/>
      <c r="I602" s="70"/>
    </row>
    <row r="603" spans="2:9" ht="15.75" x14ac:dyDescent="0.25">
      <c r="B603" s="114"/>
      <c r="C603" s="114"/>
      <c r="D603" s="114"/>
      <c r="E603" s="114"/>
      <c r="F603" s="69"/>
      <c r="G603" s="70"/>
      <c r="H603" s="70"/>
      <c r="I603" s="70"/>
    </row>
    <row r="604" spans="2:9" ht="15.75" x14ac:dyDescent="0.25">
      <c r="B604" s="114"/>
      <c r="C604" s="114"/>
      <c r="D604" s="114"/>
      <c r="E604" s="114"/>
      <c r="F604" s="69"/>
      <c r="G604" s="70"/>
      <c r="H604" s="70"/>
      <c r="I604" s="70"/>
    </row>
    <row r="605" spans="2:9" ht="15.75" x14ac:dyDescent="0.25">
      <c r="B605" s="114"/>
      <c r="C605" s="114"/>
      <c r="D605" s="114"/>
      <c r="E605" s="114"/>
      <c r="F605" s="69"/>
      <c r="G605" s="70"/>
      <c r="H605" s="70"/>
      <c r="I605" s="70"/>
    </row>
    <row r="606" spans="2:9" ht="28.5" x14ac:dyDescent="0.45">
      <c r="B606" s="146" t="s">
        <v>526</v>
      </c>
      <c r="C606" s="147"/>
      <c r="D606" s="147"/>
      <c r="E606" s="147"/>
      <c r="F606" s="147"/>
      <c r="G606" s="147"/>
      <c r="H606" s="147"/>
      <c r="I606" s="148"/>
    </row>
    <row r="607" spans="2:9" ht="23.25" x14ac:dyDescent="0.35">
      <c r="B607" s="113"/>
      <c r="C607" s="113"/>
      <c r="D607" s="113"/>
      <c r="E607" s="113"/>
      <c r="F607" s="113"/>
      <c r="G607" s="113"/>
      <c r="H607" s="113"/>
      <c r="I607" s="113"/>
    </row>
    <row r="608" spans="2:9" ht="21.75" thickBot="1" x14ac:dyDescent="0.4">
      <c r="B608" s="22" t="s">
        <v>527</v>
      </c>
      <c r="G608" s="52"/>
      <c r="H608" s="52"/>
      <c r="I608" s="52"/>
    </row>
    <row r="609" spans="2:9" ht="16.5" thickBot="1" x14ac:dyDescent="0.3">
      <c r="B609" s="12" t="s">
        <v>2</v>
      </c>
      <c r="C609" s="121" t="s">
        <v>3</v>
      </c>
      <c r="D609" s="122"/>
      <c r="E609" s="123"/>
      <c r="F609" s="65" t="s">
        <v>17</v>
      </c>
      <c r="G609" s="83">
        <f>F2</f>
        <v>0</v>
      </c>
      <c r="H609" s="84">
        <f>F3</f>
        <v>0</v>
      </c>
      <c r="I609" s="84">
        <f>F4</f>
        <v>0.05</v>
      </c>
    </row>
    <row r="610" spans="2:9" ht="15.75" x14ac:dyDescent="0.25">
      <c r="B610" s="15" t="s">
        <v>528</v>
      </c>
      <c r="C610" s="149" t="s">
        <v>529</v>
      </c>
      <c r="D610" s="150"/>
      <c r="E610" s="151"/>
      <c r="F610" s="56">
        <v>35080</v>
      </c>
      <c r="G610" s="55">
        <f>$G$2*F610</f>
        <v>35080</v>
      </c>
      <c r="H610" s="55">
        <f>$G$3*G610</f>
        <v>35080</v>
      </c>
      <c r="I610" s="55">
        <f>$G$4*H610</f>
        <v>36834</v>
      </c>
    </row>
    <row r="611" spans="2:9" ht="16.5" thickBot="1" x14ac:dyDescent="0.3">
      <c r="B611" s="17" t="s">
        <v>530</v>
      </c>
      <c r="C611" s="118" t="s">
        <v>531</v>
      </c>
      <c r="D611" s="119"/>
      <c r="E611" s="120"/>
      <c r="F611" s="58">
        <v>67220</v>
      </c>
      <c r="G611" s="55">
        <f>$G$2*F611</f>
        <v>67220</v>
      </c>
      <c r="H611" s="55">
        <f>$G$3*G611</f>
        <v>67220</v>
      </c>
      <c r="I611" s="55">
        <f>$G$4*H611</f>
        <v>70581</v>
      </c>
    </row>
    <row r="612" spans="2:9" ht="15.75" x14ac:dyDescent="0.25">
      <c r="B612" s="114"/>
      <c r="C612" s="114"/>
      <c r="D612" s="114"/>
      <c r="E612" s="114"/>
      <c r="F612" s="69"/>
      <c r="G612" s="70"/>
      <c r="H612" s="70"/>
      <c r="I612" s="70"/>
    </row>
    <row r="613" spans="2:9" ht="21.75" thickBot="1" x14ac:dyDescent="0.4">
      <c r="B613" s="22" t="s">
        <v>532</v>
      </c>
      <c r="G613" s="52"/>
      <c r="H613" s="52"/>
      <c r="I613" s="52"/>
    </row>
    <row r="614" spans="2:9" ht="16.5" thickBot="1" x14ac:dyDescent="0.3">
      <c r="B614" s="12" t="s">
        <v>2</v>
      </c>
      <c r="C614" s="121" t="s">
        <v>3</v>
      </c>
      <c r="D614" s="122"/>
      <c r="E614" s="123"/>
      <c r="F614" s="65" t="s">
        <v>17</v>
      </c>
      <c r="G614" s="83">
        <f>F2</f>
        <v>0</v>
      </c>
      <c r="H614" s="84">
        <f>F3</f>
        <v>0</v>
      </c>
      <c r="I614" s="84">
        <f>F4</f>
        <v>0.05</v>
      </c>
    </row>
    <row r="615" spans="2:9" ht="16.5" thickBot="1" x14ac:dyDescent="0.3">
      <c r="B615" s="17" t="s">
        <v>533</v>
      </c>
      <c r="C615" s="118" t="s">
        <v>534</v>
      </c>
      <c r="D615" s="119"/>
      <c r="E615" s="120"/>
      <c r="F615" s="58">
        <v>43480</v>
      </c>
      <c r="G615" s="55">
        <f>$G$2*F615</f>
        <v>43480</v>
      </c>
      <c r="H615" s="55">
        <f>$G$3*G615</f>
        <v>43480</v>
      </c>
      <c r="I615" s="55">
        <f>$G$4*H615</f>
        <v>45654</v>
      </c>
    </row>
    <row r="616" spans="2:9" ht="15.75" x14ac:dyDescent="0.25">
      <c r="B616" s="114"/>
      <c r="C616" s="114"/>
      <c r="D616" s="114"/>
      <c r="E616" s="114"/>
      <c r="F616" s="69"/>
      <c r="G616" s="70"/>
      <c r="H616" s="70"/>
      <c r="I616" s="70"/>
    </row>
    <row r="617" spans="2:9" ht="15.75" x14ac:dyDescent="0.25">
      <c r="B617" s="114"/>
      <c r="C617" s="114"/>
      <c r="D617" s="114"/>
      <c r="E617" s="114"/>
      <c r="F617" s="69"/>
      <c r="G617" s="70"/>
      <c r="H617" s="70"/>
      <c r="I617" s="70"/>
    </row>
    <row r="618" spans="2:9" ht="15.75" x14ac:dyDescent="0.25">
      <c r="B618" s="114"/>
      <c r="C618" s="114"/>
      <c r="D618" s="114"/>
      <c r="E618" s="114"/>
      <c r="F618" s="69"/>
      <c r="G618" s="70"/>
      <c r="H618" s="70"/>
      <c r="I618" s="70"/>
    </row>
    <row r="619" spans="2:9" ht="15.75" x14ac:dyDescent="0.25">
      <c r="B619" s="114"/>
      <c r="C619" s="114"/>
      <c r="D619" s="114"/>
      <c r="E619" s="114"/>
      <c r="F619" s="69"/>
      <c r="G619" s="70"/>
      <c r="H619" s="70"/>
      <c r="I619" s="70"/>
    </row>
    <row r="620" spans="2:9" ht="15.75" x14ac:dyDescent="0.25">
      <c r="B620" s="114"/>
      <c r="C620" s="114"/>
      <c r="D620" s="114"/>
      <c r="E620" s="114"/>
      <c r="F620" s="69"/>
      <c r="G620" s="70"/>
      <c r="H620" s="70"/>
      <c r="I620" s="70"/>
    </row>
    <row r="621" spans="2:9" ht="15.75" x14ac:dyDescent="0.25">
      <c r="B621" s="114"/>
      <c r="C621" s="114"/>
      <c r="D621" s="114"/>
      <c r="E621" s="114"/>
      <c r="F621" s="69"/>
      <c r="G621" s="70"/>
      <c r="H621" s="70"/>
      <c r="I621" s="70"/>
    </row>
    <row r="622" spans="2:9" ht="15.75" x14ac:dyDescent="0.25">
      <c r="B622" s="114"/>
      <c r="C622" s="114"/>
      <c r="D622" s="114"/>
      <c r="E622" s="114"/>
      <c r="F622" s="69"/>
      <c r="G622" s="70"/>
      <c r="H622" s="70"/>
      <c r="I622" s="70"/>
    </row>
    <row r="623" spans="2:9" ht="15.75" x14ac:dyDescent="0.25">
      <c r="B623" s="114"/>
      <c r="C623" s="114"/>
      <c r="D623" s="114"/>
      <c r="E623" s="114"/>
      <c r="F623" s="69"/>
      <c r="G623" s="70"/>
      <c r="H623" s="70"/>
      <c r="I623" s="70"/>
    </row>
    <row r="624" spans="2:9" ht="15.75" x14ac:dyDescent="0.25">
      <c r="B624" s="114"/>
      <c r="C624" s="114"/>
      <c r="D624" s="114"/>
      <c r="E624" s="114"/>
      <c r="F624" s="69"/>
      <c r="G624" s="70"/>
      <c r="H624" s="70"/>
      <c r="I624" s="70"/>
    </row>
    <row r="625" spans="2:9" ht="15.75" x14ac:dyDescent="0.25">
      <c r="B625" s="114"/>
      <c r="C625" s="114"/>
      <c r="D625" s="114"/>
      <c r="E625" s="114"/>
      <c r="F625" s="69"/>
      <c r="G625" s="70"/>
      <c r="H625" s="70"/>
      <c r="I625" s="70"/>
    </row>
    <row r="626" spans="2:9" ht="15.75" x14ac:dyDescent="0.25">
      <c r="B626" s="114"/>
      <c r="C626" s="114"/>
      <c r="D626" s="114"/>
      <c r="E626" s="114"/>
      <c r="F626" s="69"/>
      <c r="G626" s="70"/>
      <c r="H626" s="70"/>
      <c r="I626" s="70"/>
    </row>
    <row r="627" spans="2:9" ht="15.75" x14ac:dyDescent="0.25">
      <c r="B627" s="114"/>
      <c r="C627" s="114"/>
      <c r="D627" s="114"/>
      <c r="E627" s="114"/>
      <c r="F627" s="69"/>
      <c r="G627" s="70"/>
      <c r="H627" s="70"/>
      <c r="I627" s="70"/>
    </row>
    <row r="628" spans="2:9" ht="15.75" x14ac:dyDescent="0.25">
      <c r="B628" s="114"/>
      <c r="C628" s="114"/>
      <c r="D628" s="114"/>
      <c r="E628" s="114"/>
      <c r="F628" s="69"/>
      <c r="G628" s="70"/>
      <c r="H628" s="70"/>
      <c r="I628" s="70"/>
    </row>
    <row r="629" spans="2:9" ht="15.75" x14ac:dyDescent="0.25">
      <c r="B629" s="114"/>
      <c r="C629" s="114"/>
      <c r="D629" s="114"/>
      <c r="E629" s="114"/>
      <c r="F629" s="69"/>
      <c r="G629" s="70"/>
      <c r="H629" s="70"/>
      <c r="I629" s="70"/>
    </row>
    <row r="630" spans="2:9" ht="15.75" thickBot="1" x14ac:dyDescent="0.3">
      <c r="B630" s="3"/>
      <c r="C630" s="3"/>
      <c r="D630" s="3"/>
      <c r="E630" s="3"/>
      <c r="F630" s="66"/>
      <c r="G630" s="67"/>
      <c r="H630" s="92"/>
      <c r="I630" s="67"/>
    </row>
    <row r="631" spans="2:9" ht="15.75" thickTop="1" x14ac:dyDescent="0.25">
      <c r="B631" s="6">
        <v>0.875</v>
      </c>
      <c r="C631" s="188" t="s">
        <v>64</v>
      </c>
      <c r="D631" s="188"/>
      <c r="E631" s="188"/>
      <c r="F631" s="188"/>
      <c r="G631" s="188"/>
      <c r="H631" s="188"/>
      <c r="I631" s="88" t="s">
        <v>501</v>
      </c>
    </row>
    <row r="632" spans="2:9" x14ac:dyDescent="0.25">
      <c r="B632" s="6"/>
      <c r="C632" s="8"/>
      <c r="D632" s="8"/>
      <c r="E632" s="8"/>
      <c r="F632" s="74"/>
      <c r="G632" s="75"/>
      <c r="H632" s="94"/>
      <c r="I632" s="68"/>
    </row>
    <row r="633" spans="2:9" ht="15.75" thickBot="1" x14ac:dyDescent="0.3">
      <c r="B633" s="128"/>
      <c r="C633" s="128"/>
      <c r="D633" s="106"/>
      <c r="F633" s="45" t="s">
        <v>477</v>
      </c>
    </row>
    <row r="634" spans="2:9" ht="15" customHeight="1" x14ac:dyDescent="0.25">
      <c r="B634" s="128"/>
      <c r="C634" s="128"/>
      <c r="D634" s="106"/>
      <c r="E634" s="129" t="s">
        <v>523</v>
      </c>
      <c r="F634" s="130"/>
      <c r="G634" s="133" t="s">
        <v>508</v>
      </c>
      <c r="H634" s="133"/>
      <c r="I634" s="133"/>
    </row>
    <row r="635" spans="2:9" ht="9.75" customHeight="1" x14ac:dyDescent="0.25">
      <c r="B635" s="128"/>
      <c r="C635" s="128"/>
      <c r="D635" s="106"/>
      <c r="E635" s="131"/>
      <c r="F635" s="132"/>
      <c r="G635" s="108"/>
      <c r="H635" s="108"/>
      <c r="I635" s="108"/>
    </row>
    <row r="636" spans="2:9" ht="15" customHeight="1" x14ac:dyDescent="0.25">
      <c r="B636" s="128"/>
      <c r="C636" s="128"/>
      <c r="D636" s="106"/>
      <c r="E636" s="131"/>
      <c r="F636" s="132"/>
      <c r="G636" s="133" t="s">
        <v>503</v>
      </c>
      <c r="H636" s="133"/>
      <c r="I636" s="133"/>
    </row>
    <row r="637" spans="2:9" ht="9.75" customHeight="1" x14ac:dyDescent="0.25">
      <c r="B637" s="128"/>
      <c r="C637" s="128"/>
      <c r="D637" s="106"/>
      <c r="E637" s="134" t="s">
        <v>522</v>
      </c>
      <c r="F637" s="135"/>
      <c r="G637" s="107"/>
      <c r="H637" s="107"/>
      <c r="I637" s="107"/>
    </row>
    <row r="638" spans="2:9" ht="19.5" customHeight="1" thickBot="1" x14ac:dyDescent="0.3">
      <c r="B638" s="128"/>
      <c r="C638" s="128"/>
      <c r="D638" s="106"/>
      <c r="E638" s="136"/>
      <c r="F638" s="137"/>
      <c r="G638" s="138" t="s">
        <v>502</v>
      </c>
      <c r="H638" s="138"/>
      <c r="I638" s="138"/>
    </row>
    <row r="639" spans="2:9" x14ac:dyDescent="0.25">
      <c r="B639" s="128"/>
      <c r="C639" s="128"/>
      <c r="D639" s="106"/>
      <c r="E639" s="41"/>
      <c r="F639" s="46"/>
      <c r="G639" s="46"/>
      <c r="H639" s="89"/>
      <c r="I639" s="46"/>
    </row>
    <row r="640" spans="2:9" ht="18.75" customHeight="1" x14ac:dyDescent="0.25">
      <c r="B640" s="124" t="s">
        <v>525</v>
      </c>
      <c r="C640" s="124"/>
      <c r="D640" s="125" t="s">
        <v>521</v>
      </c>
      <c r="E640" s="125"/>
      <c r="F640" s="125"/>
      <c r="G640" s="126" t="str">
        <f>(C1)</f>
        <v>Lista N°97 - NOVIEMBRE 2024</v>
      </c>
      <c r="H640" s="126"/>
      <c r="I640" s="126"/>
    </row>
    <row r="641" spans="2:9" ht="21" customHeight="1" x14ac:dyDescent="0.3">
      <c r="B641" s="127" t="s">
        <v>524</v>
      </c>
      <c r="C641" s="127"/>
      <c r="D641" s="125"/>
      <c r="E641" s="125"/>
      <c r="F641" s="125"/>
      <c r="G641" s="126"/>
      <c r="H641" s="126"/>
      <c r="I641" s="126"/>
    </row>
    <row r="642" spans="2:9" s="112" customFormat="1" ht="24" customHeight="1" x14ac:dyDescent="0.3">
      <c r="B642" s="109"/>
      <c r="C642" s="109"/>
      <c r="D642" s="110"/>
      <c r="E642" s="110"/>
      <c r="F642" s="110"/>
      <c r="G642" s="111"/>
      <c r="H642" s="111"/>
      <c r="I642" s="111"/>
    </row>
    <row r="643" spans="2:9" ht="23.25" x14ac:dyDescent="0.35">
      <c r="B643" s="165" t="s">
        <v>413</v>
      </c>
      <c r="C643" s="166"/>
      <c r="D643" s="166"/>
      <c r="E643" s="166"/>
      <c r="F643" s="166"/>
      <c r="G643" s="166"/>
      <c r="H643" s="166"/>
      <c r="I643" s="167"/>
    </row>
    <row r="644" spans="2:9" s="112" customFormat="1" ht="16.5" customHeight="1" x14ac:dyDescent="0.35">
      <c r="B644" s="113"/>
      <c r="C644" s="113"/>
      <c r="D644" s="113"/>
      <c r="E644" s="113"/>
      <c r="F644" s="113"/>
      <c r="G644" s="113"/>
      <c r="H644" s="113"/>
      <c r="I644" s="113"/>
    </row>
    <row r="645" spans="2:9" ht="21.75" thickBot="1" x14ac:dyDescent="0.4">
      <c r="B645" s="22" t="s">
        <v>482</v>
      </c>
      <c r="G645" s="52" t="s">
        <v>6</v>
      </c>
      <c r="H645" s="52" t="s">
        <v>7</v>
      </c>
      <c r="I645" s="52" t="s">
        <v>461</v>
      </c>
    </row>
    <row r="646" spans="2:9" ht="16.5" thickBot="1" x14ac:dyDescent="0.3">
      <c r="B646" s="12" t="s">
        <v>2</v>
      </c>
      <c r="C646" s="121" t="s">
        <v>3</v>
      </c>
      <c r="D646" s="123"/>
      <c r="E646" s="13" t="s">
        <v>437</v>
      </c>
      <c r="F646" s="65" t="s">
        <v>17</v>
      </c>
      <c r="G646" s="83">
        <f>F2</f>
        <v>0</v>
      </c>
      <c r="H646" s="84">
        <f>F3</f>
        <v>0</v>
      </c>
      <c r="I646" s="84">
        <f>F4</f>
        <v>0.05</v>
      </c>
    </row>
    <row r="647" spans="2:9" ht="15.75" x14ac:dyDescent="0.25">
      <c r="B647" s="15" t="s">
        <v>414</v>
      </c>
      <c r="C647" s="144" t="s">
        <v>418</v>
      </c>
      <c r="D647" s="145"/>
      <c r="E647" s="15" t="s">
        <v>416</v>
      </c>
      <c r="F647" s="56">
        <v>73115</v>
      </c>
      <c r="G647" s="55">
        <f>$G$2*F647</f>
        <v>73115</v>
      </c>
      <c r="H647" s="55">
        <f>$G$3*G647</f>
        <v>73115</v>
      </c>
      <c r="I647" s="55">
        <f>$G$4*H647</f>
        <v>76770.75</v>
      </c>
    </row>
    <row r="648" spans="2:9" ht="16.5" thickBot="1" x14ac:dyDescent="0.3">
      <c r="B648" s="17" t="s">
        <v>415</v>
      </c>
      <c r="C648" s="141" t="s">
        <v>419</v>
      </c>
      <c r="D648" s="142"/>
      <c r="E648" s="17" t="s">
        <v>417</v>
      </c>
      <c r="F648" s="58">
        <v>92775</v>
      </c>
      <c r="G648" s="55">
        <f>$G$2*F648</f>
        <v>92775</v>
      </c>
      <c r="H648" s="55">
        <f>$G$3*G648</f>
        <v>92775</v>
      </c>
      <c r="I648" s="55">
        <f>$G$4*H648</f>
        <v>97413.75</v>
      </c>
    </row>
    <row r="649" spans="2:9" ht="24" customHeight="1" x14ac:dyDescent="0.25">
      <c r="B649" s="20"/>
      <c r="C649" s="20"/>
      <c r="D649" s="20"/>
      <c r="E649" s="20"/>
      <c r="F649" s="59"/>
      <c r="G649" s="73"/>
      <c r="H649" s="73"/>
      <c r="I649" s="73"/>
    </row>
    <row r="650" spans="2:9" ht="23.25" x14ac:dyDescent="0.35">
      <c r="B650" s="165" t="s">
        <v>420</v>
      </c>
      <c r="C650" s="166"/>
      <c r="D650" s="166"/>
      <c r="E650" s="166"/>
      <c r="F650" s="166"/>
      <c r="G650" s="166"/>
      <c r="H650" s="166"/>
      <c r="I650" s="167"/>
    </row>
    <row r="651" spans="2:9" s="112" customFormat="1" ht="16.5" customHeight="1" x14ac:dyDescent="0.35">
      <c r="B651" s="113"/>
      <c r="C651" s="113"/>
      <c r="D651" s="113"/>
      <c r="E651" s="113"/>
      <c r="F651" s="113"/>
      <c r="G651" s="113"/>
      <c r="H651" s="113"/>
      <c r="I651" s="113"/>
    </row>
    <row r="652" spans="2:9" ht="21.75" thickBot="1" x14ac:dyDescent="0.4">
      <c r="B652" s="21" t="s">
        <v>421</v>
      </c>
      <c r="C652" s="20"/>
      <c r="D652" s="20"/>
      <c r="E652" s="20"/>
      <c r="F652" s="59"/>
      <c r="G652" s="60"/>
      <c r="H652" s="73"/>
      <c r="I652" s="60"/>
    </row>
    <row r="653" spans="2:9" ht="16.5" thickBot="1" x14ac:dyDescent="0.3">
      <c r="B653" s="12" t="s">
        <v>2</v>
      </c>
      <c r="C653" s="121" t="s">
        <v>439</v>
      </c>
      <c r="D653" s="123"/>
      <c r="E653" s="13" t="s">
        <v>438</v>
      </c>
      <c r="F653" s="65" t="s">
        <v>17</v>
      </c>
      <c r="G653" s="83">
        <f>F2</f>
        <v>0</v>
      </c>
      <c r="H653" s="84">
        <f>F3</f>
        <v>0</v>
      </c>
      <c r="I653" s="84">
        <f>F4</f>
        <v>0.05</v>
      </c>
    </row>
    <row r="654" spans="2:9" ht="15.75" x14ac:dyDescent="0.25">
      <c r="B654" s="15" t="s">
        <v>422</v>
      </c>
      <c r="C654" s="170">
        <v>0.95</v>
      </c>
      <c r="D654" s="171"/>
      <c r="E654" s="15">
        <v>2</v>
      </c>
      <c r="F654" s="56">
        <v>79622</v>
      </c>
      <c r="G654" s="55">
        <f t="shared" ref="G654:G659" si="43">$G$2*F654</f>
        <v>79622</v>
      </c>
      <c r="H654" s="55">
        <f t="shared" ref="H654:H659" si="44">$G$3*G654</f>
        <v>79622</v>
      </c>
      <c r="I654" s="55">
        <f t="shared" ref="I654:I659" si="45">$G$4*H654</f>
        <v>83603.100000000006</v>
      </c>
    </row>
    <row r="655" spans="2:9" ht="15.75" x14ac:dyDescent="0.25">
      <c r="B655" s="19" t="s">
        <v>423</v>
      </c>
      <c r="C655" s="172">
        <v>1.17</v>
      </c>
      <c r="D655" s="173"/>
      <c r="E655" s="19">
        <v>3</v>
      </c>
      <c r="F655" s="57">
        <v>97520</v>
      </c>
      <c r="G655" s="55">
        <f t="shared" si="43"/>
        <v>97520</v>
      </c>
      <c r="H655" s="55">
        <f t="shared" si="44"/>
        <v>97520</v>
      </c>
      <c r="I655" s="55">
        <f t="shared" si="45"/>
        <v>102396</v>
      </c>
    </row>
    <row r="656" spans="2:9" ht="15.75" x14ac:dyDescent="0.25">
      <c r="B656" s="19" t="s">
        <v>424</v>
      </c>
      <c r="C656" s="172">
        <v>1.39</v>
      </c>
      <c r="D656" s="173"/>
      <c r="E656" s="19">
        <v>4</v>
      </c>
      <c r="F656" s="57">
        <v>110720</v>
      </c>
      <c r="G656" s="55">
        <f t="shared" si="43"/>
        <v>110720</v>
      </c>
      <c r="H656" s="55">
        <f t="shared" si="44"/>
        <v>110720</v>
      </c>
      <c r="I656" s="55">
        <f t="shared" si="45"/>
        <v>116256</v>
      </c>
    </row>
    <row r="657" spans="2:9" ht="15.75" x14ac:dyDescent="0.25">
      <c r="B657" s="19" t="s">
        <v>425</v>
      </c>
      <c r="C657" s="172">
        <v>1.6</v>
      </c>
      <c r="D657" s="173"/>
      <c r="E657" s="19">
        <v>5</v>
      </c>
      <c r="F657" s="57">
        <v>129565</v>
      </c>
      <c r="G657" s="55">
        <f t="shared" si="43"/>
        <v>129565</v>
      </c>
      <c r="H657" s="55">
        <f t="shared" si="44"/>
        <v>129565</v>
      </c>
      <c r="I657" s="55">
        <f t="shared" si="45"/>
        <v>136043.25</v>
      </c>
    </row>
    <row r="658" spans="2:9" ht="15.75" x14ac:dyDescent="0.25">
      <c r="B658" s="19" t="s">
        <v>426</v>
      </c>
      <c r="C658" s="172">
        <v>1.82</v>
      </c>
      <c r="D658" s="173"/>
      <c r="E658" s="19">
        <v>6</v>
      </c>
      <c r="F658" s="57">
        <v>142520</v>
      </c>
      <c r="G658" s="55">
        <f t="shared" si="43"/>
        <v>142520</v>
      </c>
      <c r="H658" s="55">
        <f t="shared" si="44"/>
        <v>142520</v>
      </c>
      <c r="I658" s="55">
        <f t="shared" si="45"/>
        <v>149646</v>
      </c>
    </row>
    <row r="659" spans="2:9" ht="16.5" thickBot="1" x14ac:dyDescent="0.3">
      <c r="B659" s="17" t="s">
        <v>427</v>
      </c>
      <c r="C659" s="168">
        <v>2.0499999999999998</v>
      </c>
      <c r="D659" s="169"/>
      <c r="E659" s="17">
        <v>7</v>
      </c>
      <c r="F659" s="58">
        <v>170795</v>
      </c>
      <c r="G659" s="55">
        <f t="shared" si="43"/>
        <v>170795</v>
      </c>
      <c r="H659" s="55">
        <f t="shared" si="44"/>
        <v>170795</v>
      </c>
      <c r="I659" s="55">
        <f t="shared" si="45"/>
        <v>179334.75</v>
      </c>
    </row>
    <row r="660" spans="2:9" ht="15.75" x14ac:dyDescent="0.25">
      <c r="B660" s="20"/>
      <c r="C660" s="20"/>
      <c r="D660" s="20"/>
      <c r="E660" s="20"/>
      <c r="F660" s="59"/>
      <c r="G660" s="60"/>
      <c r="H660" s="73"/>
      <c r="I660" s="60"/>
    </row>
    <row r="661" spans="2:9" ht="21.75" thickBot="1" x14ac:dyDescent="0.4">
      <c r="B661" s="21" t="s">
        <v>428</v>
      </c>
      <c r="C661" s="20"/>
      <c r="D661" s="20"/>
      <c r="E661" s="20"/>
      <c r="F661" s="59"/>
      <c r="G661" s="60"/>
      <c r="H661" s="73"/>
      <c r="I661" s="60"/>
    </row>
    <row r="662" spans="2:9" ht="16.5" thickBot="1" x14ac:dyDescent="0.3">
      <c r="B662" s="12" t="s">
        <v>2</v>
      </c>
      <c r="C662" s="121" t="s">
        <v>440</v>
      </c>
      <c r="D662" s="123"/>
      <c r="E662" s="13" t="s">
        <v>438</v>
      </c>
      <c r="F662" s="65" t="s">
        <v>17</v>
      </c>
      <c r="G662" s="83">
        <f>F2</f>
        <v>0</v>
      </c>
      <c r="H662" s="84">
        <f>F3</f>
        <v>0</v>
      </c>
      <c r="I662" s="84">
        <f>F4</f>
        <v>0.05</v>
      </c>
    </row>
    <row r="663" spans="2:9" ht="15.75" x14ac:dyDescent="0.25">
      <c r="B663" s="14" t="s">
        <v>429</v>
      </c>
      <c r="C663" s="170">
        <v>0.6</v>
      </c>
      <c r="D663" s="171"/>
      <c r="E663" s="15">
        <v>2</v>
      </c>
      <c r="F663" s="56">
        <v>109550</v>
      </c>
      <c r="G663" s="55">
        <f>$G$2*F663</f>
        <v>109550</v>
      </c>
      <c r="H663" s="55">
        <f>$G$3*G663</f>
        <v>109550</v>
      </c>
      <c r="I663" s="55">
        <f>$G$4*H663</f>
        <v>115027.5</v>
      </c>
    </row>
    <row r="664" spans="2:9" ht="15.75" x14ac:dyDescent="0.25">
      <c r="B664" s="18" t="s">
        <v>430</v>
      </c>
      <c r="C664" s="172">
        <v>0.9</v>
      </c>
      <c r="D664" s="173"/>
      <c r="E664" s="19">
        <v>3</v>
      </c>
      <c r="F664" s="57">
        <v>140490</v>
      </c>
      <c r="G664" s="55">
        <f t="shared" ref="G664:G669" si="46">$G$2*F664</f>
        <v>140490</v>
      </c>
      <c r="H664" s="55">
        <f t="shared" ref="H664:H669" si="47">$G$3*G664</f>
        <v>140490</v>
      </c>
      <c r="I664" s="55">
        <f t="shared" ref="I664:I669" si="48">$G$4*H664</f>
        <v>147514.5</v>
      </c>
    </row>
    <row r="665" spans="2:9" ht="15.75" x14ac:dyDescent="0.25">
      <c r="B665" s="18" t="s">
        <v>431</v>
      </c>
      <c r="C665" s="172">
        <v>1.2</v>
      </c>
      <c r="D665" s="173"/>
      <c r="E665" s="19">
        <v>4</v>
      </c>
      <c r="F665" s="57">
        <v>166060</v>
      </c>
      <c r="G665" s="55">
        <f t="shared" si="46"/>
        <v>166060</v>
      </c>
      <c r="H665" s="55">
        <f t="shared" si="47"/>
        <v>166060</v>
      </c>
      <c r="I665" s="55">
        <f t="shared" si="48"/>
        <v>174363</v>
      </c>
    </row>
    <row r="666" spans="2:9" ht="15.75" x14ac:dyDescent="0.25">
      <c r="B666" s="18" t="s">
        <v>432</v>
      </c>
      <c r="C666" s="172">
        <v>1.5</v>
      </c>
      <c r="D666" s="173"/>
      <c r="E666" s="19">
        <v>5</v>
      </c>
      <c r="F666" s="57">
        <v>196975</v>
      </c>
      <c r="G666" s="55">
        <f t="shared" si="46"/>
        <v>196975</v>
      </c>
      <c r="H666" s="55">
        <f t="shared" si="47"/>
        <v>196975</v>
      </c>
      <c r="I666" s="55">
        <f t="shared" si="48"/>
        <v>206823.75</v>
      </c>
    </row>
    <row r="667" spans="2:9" ht="15.75" x14ac:dyDescent="0.25">
      <c r="B667" s="18" t="s">
        <v>433</v>
      </c>
      <c r="C667" s="172">
        <v>1.8</v>
      </c>
      <c r="D667" s="173"/>
      <c r="E667" s="19">
        <v>6</v>
      </c>
      <c r="F667" s="57">
        <v>219110</v>
      </c>
      <c r="G667" s="55">
        <f t="shared" si="46"/>
        <v>219110</v>
      </c>
      <c r="H667" s="55">
        <f t="shared" si="47"/>
        <v>219110</v>
      </c>
      <c r="I667" s="55">
        <f t="shared" si="48"/>
        <v>230065.5</v>
      </c>
    </row>
    <row r="668" spans="2:9" ht="15.75" x14ac:dyDescent="0.25">
      <c r="B668" s="18" t="s">
        <v>434</v>
      </c>
      <c r="C668" s="172">
        <v>2.1</v>
      </c>
      <c r="D668" s="173"/>
      <c r="E668" s="19">
        <v>7</v>
      </c>
      <c r="F668" s="57">
        <v>250335</v>
      </c>
      <c r="G668" s="55">
        <f t="shared" si="46"/>
        <v>250335</v>
      </c>
      <c r="H668" s="55">
        <f t="shared" si="47"/>
        <v>250335</v>
      </c>
      <c r="I668" s="55">
        <f t="shared" si="48"/>
        <v>262851.75</v>
      </c>
    </row>
    <row r="669" spans="2:9" ht="16.5" thickBot="1" x14ac:dyDescent="0.3">
      <c r="B669" s="16" t="s">
        <v>435</v>
      </c>
      <c r="C669" s="168">
        <v>2.4</v>
      </c>
      <c r="D669" s="169"/>
      <c r="E669" s="17">
        <v>8</v>
      </c>
      <c r="F669" s="58">
        <v>281980</v>
      </c>
      <c r="G669" s="55">
        <f t="shared" si="46"/>
        <v>281980</v>
      </c>
      <c r="H669" s="55">
        <f t="shared" si="47"/>
        <v>281980</v>
      </c>
      <c r="I669" s="55">
        <f t="shared" si="48"/>
        <v>296079</v>
      </c>
    </row>
    <row r="670" spans="2:9" ht="15.75" x14ac:dyDescent="0.25">
      <c r="B670" s="20"/>
      <c r="C670" s="20"/>
      <c r="D670" s="20"/>
      <c r="E670" s="20"/>
      <c r="F670" s="59"/>
      <c r="G670" s="60"/>
      <c r="H670" s="73"/>
      <c r="I670" s="60"/>
    </row>
    <row r="671" spans="2:9" ht="21.75" thickBot="1" x14ac:dyDescent="0.4">
      <c r="B671" s="21" t="s">
        <v>436</v>
      </c>
      <c r="C671" s="20"/>
      <c r="D671" s="20"/>
      <c r="E671" s="20"/>
      <c r="F671" s="59"/>
      <c r="G671" s="60"/>
      <c r="H671" s="73"/>
      <c r="I671" s="60"/>
    </row>
    <row r="672" spans="2:9" ht="16.5" thickBot="1" x14ac:dyDescent="0.3">
      <c r="B672" s="12" t="s">
        <v>2</v>
      </c>
      <c r="C672" s="121" t="s">
        <v>440</v>
      </c>
      <c r="D672" s="123"/>
      <c r="E672" s="13" t="s">
        <v>438</v>
      </c>
      <c r="F672" s="65" t="s">
        <v>17</v>
      </c>
      <c r="G672" s="83">
        <f>F2</f>
        <v>0</v>
      </c>
      <c r="H672" s="84">
        <f>F3</f>
        <v>0</v>
      </c>
      <c r="I672" s="84">
        <f>F4</f>
        <v>0.05</v>
      </c>
    </row>
    <row r="673" spans="2:9" ht="15.75" x14ac:dyDescent="0.25">
      <c r="B673" s="14" t="s">
        <v>441</v>
      </c>
      <c r="C673" s="170">
        <v>0.6</v>
      </c>
      <c r="D673" s="171"/>
      <c r="E673" s="15">
        <v>2</v>
      </c>
      <c r="F673" s="56">
        <v>108865</v>
      </c>
      <c r="G673" s="55">
        <f>$G$2*F673</f>
        <v>108865</v>
      </c>
      <c r="H673" s="55">
        <f>$G$3*G673</f>
        <v>108865</v>
      </c>
      <c r="I673" s="55">
        <f>$G$4*H673</f>
        <v>114308.25</v>
      </c>
    </row>
    <row r="674" spans="2:9" ht="15.75" x14ac:dyDescent="0.25">
      <c r="B674" s="18" t="s">
        <v>442</v>
      </c>
      <c r="C674" s="172">
        <v>0.9</v>
      </c>
      <c r="D674" s="173"/>
      <c r="E674" s="19">
        <v>3</v>
      </c>
      <c r="F674" s="57">
        <v>150700</v>
      </c>
      <c r="G674" s="55">
        <f t="shared" ref="G674:G679" si="49">$G$2*F674</f>
        <v>150700</v>
      </c>
      <c r="H674" s="55">
        <f t="shared" ref="H674:H679" si="50">$G$3*G674</f>
        <v>150700</v>
      </c>
      <c r="I674" s="55">
        <f t="shared" ref="I674:I679" si="51">$G$4*H674</f>
        <v>158235</v>
      </c>
    </row>
    <row r="675" spans="2:9" ht="15.75" x14ac:dyDescent="0.25">
      <c r="B675" s="18" t="s">
        <v>443</v>
      </c>
      <c r="C675" s="172">
        <v>1.2</v>
      </c>
      <c r="D675" s="173"/>
      <c r="E675" s="19">
        <v>4</v>
      </c>
      <c r="F675" s="57">
        <v>198090</v>
      </c>
      <c r="G675" s="55">
        <f t="shared" si="49"/>
        <v>198090</v>
      </c>
      <c r="H675" s="55">
        <f t="shared" si="50"/>
        <v>198090</v>
      </c>
      <c r="I675" s="55">
        <f t="shared" si="51"/>
        <v>207994.5</v>
      </c>
    </row>
    <row r="676" spans="2:9" ht="15.75" x14ac:dyDescent="0.25">
      <c r="B676" s="18" t="s">
        <v>444</v>
      </c>
      <c r="C676" s="172">
        <v>1.5</v>
      </c>
      <c r="D676" s="173"/>
      <c r="E676" s="19">
        <v>5</v>
      </c>
      <c r="F676" s="57">
        <v>241115</v>
      </c>
      <c r="G676" s="55">
        <f t="shared" si="49"/>
        <v>241115</v>
      </c>
      <c r="H676" s="55">
        <f t="shared" si="50"/>
        <v>241115</v>
      </c>
      <c r="I676" s="55">
        <f t="shared" si="51"/>
        <v>253170.75</v>
      </c>
    </row>
    <row r="677" spans="2:9" ht="15.75" x14ac:dyDescent="0.25">
      <c r="B677" s="18" t="s">
        <v>445</v>
      </c>
      <c r="C677" s="172">
        <v>1.8</v>
      </c>
      <c r="D677" s="173"/>
      <c r="E677" s="19">
        <v>6</v>
      </c>
      <c r="F677" s="57">
        <v>291145</v>
      </c>
      <c r="G677" s="55">
        <f t="shared" si="49"/>
        <v>291145</v>
      </c>
      <c r="H677" s="55">
        <f t="shared" si="50"/>
        <v>291145</v>
      </c>
      <c r="I677" s="55">
        <f t="shared" si="51"/>
        <v>305702.25</v>
      </c>
    </row>
    <row r="678" spans="2:9" ht="15.75" x14ac:dyDescent="0.25">
      <c r="B678" s="18" t="s">
        <v>446</v>
      </c>
      <c r="C678" s="172">
        <v>2.1</v>
      </c>
      <c r="D678" s="173"/>
      <c r="E678" s="19">
        <v>7</v>
      </c>
      <c r="F678" s="57">
        <v>333100</v>
      </c>
      <c r="G678" s="55">
        <f t="shared" si="49"/>
        <v>333100</v>
      </c>
      <c r="H678" s="55">
        <f t="shared" si="50"/>
        <v>333100</v>
      </c>
      <c r="I678" s="55">
        <f t="shared" si="51"/>
        <v>349755</v>
      </c>
    </row>
    <row r="679" spans="2:9" ht="16.5" thickBot="1" x14ac:dyDescent="0.3">
      <c r="B679" s="16" t="s">
        <v>447</v>
      </c>
      <c r="C679" s="168">
        <v>2.4</v>
      </c>
      <c r="D679" s="169"/>
      <c r="E679" s="17">
        <v>8</v>
      </c>
      <c r="F679" s="58">
        <v>396175</v>
      </c>
      <c r="G679" s="55">
        <f t="shared" si="49"/>
        <v>396175</v>
      </c>
      <c r="H679" s="55">
        <f t="shared" si="50"/>
        <v>396175</v>
      </c>
      <c r="I679" s="55">
        <f t="shared" si="51"/>
        <v>415983.75</v>
      </c>
    </row>
    <row r="680" spans="2:9" ht="15.75" x14ac:dyDescent="0.25">
      <c r="B680" s="20"/>
      <c r="C680" s="20"/>
      <c r="D680" s="20"/>
      <c r="E680" s="20"/>
      <c r="F680" s="59"/>
      <c r="G680" s="60"/>
      <c r="H680" s="73"/>
      <c r="I680" s="60"/>
    </row>
    <row r="681" spans="2:9" ht="21.75" thickBot="1" x14ac:dyDescent="0.4">
      <c r="B681" s="21" t="s">
        <v>449</v>
      </c>
    </row>
    <row r="682" spans="2:9" ht="16.5" thickBot="1" x14ac:dyDescent="0.3">
      <c r="B682" s="12" t="s">
        <v>2</v>
      </c>
      <c r="C682" s="121" t="s">
        <v>448</v>
      </c>
      <c r="D682" s="123"/>
      <c r="E682" s="13" t="s">
        <v>438</v>
      </c>
      <c r="F682" s="65" t="s">
        <v>17</v>
      </c>
      <c r="G682" s="83">
        <f>F2</f>
        <v>0</v>
      </c>
      <c r="H682" s="84">
        <f>F3</f>
        <v>0</v>
      </c>
      <c r="I682" s="84">
        <f>F4</f>
        <v>0.05</v>
      </c>
    </row>
    <row r="683" spans="2:9" ht="15.75" x14ac:dyDescent="0.25">
      <c r="B683" s="14" t="s">
        <v>450</v>
      </c>
      <c r="C683" s="170">
        <v>4.5</v>
      </c>
      <c r="D683" s="171"/>
      <c r="E683" s="15">
        <v>21</v>
      </c>
      <c r="F683" s="56">
        <v>407570</v>
      </c>
      <c r="G683" s="55">
        <f>$G$2*F683</f>
        <v>407570</v>
      </c>
      <c r="H683" s="55">
        <f>$G$3*G683</f>
        <v>407570</v>
      </c>
      <c r="I683" s="55">
        <f>$G$4*H683</f>
        <v>427948.5</v>
      </c>
    </row>
    <row r="684" spans="2:9" ht="16.5" thickBot="1" x14ac:dyDescent="0.3">
      <c r="B684" s="16" t="s">
        <v>451</v>
      </c>
      <c r="C684" s="168">
        <v>6.2</v>
      </c>
      <c r="D684" s="169"/>
      <c r="E684" s="17">
        <v>27</v>
      </c>
      <c r="F684" s="58">
        <v>494705</v>
      </c>
      <c r="G684" s="55">
        <f>$G$2*F684</f>
        <v>494705</v>
      </c>
      <c r="H684" s="55">
        <f>$G$3*G684</f>
        <v>494705</v>
      </c>
      <c r="I684" s="55">
        <f>$G$4*H684</f>
        <v>519440.25</v>
      </c>
    </row>
    <row r="686" spans="2:9" ht="21.75" thickBot="1" x14ac:dyDescent="0.4">
      <c r="B686" s="21" t="s">
        <v>452</v>
      </c>
    </row>
    <row r="687" spans="2:9" ht="16.5" thickBot="1" x14ac:dyDescent="0.3">
      <c r="B687" s="12" t="s">
        <v>2</v>
      </c>
      <c r="C687" s="121" t="s">
        <v>448</v>
      </c>
      <c r="D687" s="123"/>
      <c r="E687" s="13" t="s">
        <v>438</v>
      </c>
      <c r="F687" s="65" t="s">
        <v>17</v>
      </c>
      <c r="G687" s="83">
        <f>F2</f>
        <v>0</v>
      </c>
      <c r="H687" s="84">
        <f>F3</f>
        <v>0</v>
      </c>
      <c r="I687" s="84">
        <f>F4</f>
        <v>0.05</v>
      </c>
    </row>
    <row r="688" spans="2:9" ht="15.75" x14ac:dyDescent="0.25">
      <c r="B688" s="14" t="s">
        <v>453</v>
      </c>
      <c r="C688" s="170">
        <v>3.6</v>
      </c>
      <c r="D688" s="171"/>
      <c r="E688" s="15">
        <v>12</v>
      </c>
      <c r="F688" s="56">
        <v>233200</v>
      </c>
      <c r="G688" s="55">
        <f>$G$2*F688</f>
        <v>233200</v>
      </c>
      <c r="H688" s="55">
        <f>$G$3*G688</f>
        <v>233200</v>
      </c>
      <c r="I688" s="55">
        <f>$G$4*H688</f>
        <v>244860</v>
      </c>
    </row>
    <row r="689" spans="2:9" ht="15.75" x14ac:dyDescent="0.25">
      <c r="B689" s="18" t="s">
        <v>454</v>
      </c>
      <c r="C689" s="172">
        <v>4.7</v>
      </c>
      <c r="D689" s="173"/>
      <c r="E689" s="19">
        <v>16</v>
      </c>
      <c r="F689" s="57">
        <v>270895</v>
      </c>
      <c r="G689" s="81">
        <f>$G$2*F689</f>
        <v>270895</v>
      </c>
      <c r="H689" s="55">
        <f>$G$3*G689</f>
        <v>270895</v>
      </c>
      <c r="I689" s="55">
        <f>$G$4*H689</f>
        <v>284439.75</v>
      </c>
    </row>
    <row r="690" spans="2:9" ht="16.5" thickBot="1" x14ac:dyDescent="0.3">
      <c r="B690" s="16" t="s">
        <v>464</v>
      </c>
      <c r="C690" s="168" t="s">
        <v>488</v>
      </c>
      <c r="D690" s="169"/>
      <c r="E690" s="17">
        <v>16</v>
      </c>
      <c r="F690" s="58">
        <v>327435</v>
      </c>
      <c r="G690" s="82">
        <f>$G$2*F690</f>
        <v>327435</v>
      </c>
      <c r="H690" s="82">
        <f>$G$3*G690</f>
        <v>327435</v>
      </c>
      <c r="I690" s="82">
        <f>$G$4*H690</f>
        <v>343806.75</v>
      </c>
    </row>
    <row r="691" spans="2:9" ht="15.75" x14ac:dyDescent="0.25">
      <c r="B691" s="116"/>
      <c r="C691" s="117"/>
      <c r="D691" s="117"/>
      <c r="E691" s="114"/>
      <c r="F691" s="69"/>
      <c r="G691" s="70"/>
      <c r="H691" s="70"/>
      <c r="I691" s="70"/>
    </row>
    <row r="692" spans="2:9" ht="15.75" x14ac:dyDescent="0.25">
      <c r="B692" s="116"/>
      <c r="C692" s="117"/>
      <c r="D692" s="117"/>
      <c r="E692" s="114"/>
      <c r="F692" s="69"/>
      <c r="G692" s="70"/>
      <c r="H692" s="70"/>
      <c r="I692" s="70"/>
    </row>
    <row r="693" spans="2:9" ht="15.75" x14ac:dyDescent="0.25">
      <c r="B693" s="116"/>
      <c r="C693" s="117"/>
      <c r="D693" s="117"/>
      <c r="E693" s="114"/>
      <c r="F693" s="69"/>
      <c r="G693" s="70"/>
      <c r="H693" s="70"/>
      <c r="I693" s="70"/>
    </row>
    <row r="694" spans="2:9" ht="15.75" x14ac:dyDescent="0.25">
      <c r="B694" s="116"/>
      <c r="C694" s="117"/>
      <c r="D694" s="117"/>
      <c r="E694" s="114"/>
      <c r="F694" s="69"/>
      <c r="G694" s="70"/>
      <c r="H694" s="70"/>
      <c r="I694" s="70"/>
    </row>
    <row r="695" spans="2:9" ht="15.75" x14ac:dyDescent="0.25">
      <c r="B695" s="116"/>
      <c r="C695" s="117"/>
      <c r="D695" s="117"/>
      <c r="E695" s="114"/>
      <c r="F695" s="69"/>
      <c r="G695" s="70"/>
      <c r="H695" s="70"/>
      <c r="I695" s="70"/>
    </row>
    <row r="696" spans="2:9" ht="15.75" x14ac:dyDescent="0.25">
      <c r="B696" s="116"/>
      <c r="C696" s="117"/>
      <c r="D696" s="117"/>
      <c r="E696" s="114"/>
      <c r="F696" s="69"/>
      <c r="G696" s="70"/>
      <c r="H696" s="70"/>
      <c r="I696" s="70"/>
    </row>
    <row r="697" spans="2:9" ht="15.75" x14ac:dyDescent="0.25">
      <c r="B697" s="116"/>
      <c r="C697" s="117"/>
      <c r="D697" s="117"/>
      <c r="E697" s="114"/>
      <c r="F697" s="69"/>
      <c r="G697" s="70"/>
      <c r="H697" s="70"/>
      <c r="I697" s="70"/>
    </row>
    <row r="698" spans="2:9" ht="15.75" x14ac:dyDescent="0.25">
      <c r="B698" s="116"/>
      <c r="C698" s="117"/>
      <c r="D698" s="117"/>
      <c r="E698" s="114"/>
      <c r="F698" s="69"/>
      <c r="G698" s="70"/>
      <c r="H698" s="70"/>
      <c r="I698" s="70"/>
    </row>
    <row r="699" spans="2:9" ht="15.75" x14ac:dyDescent="0.25">
      <c r="B699" s="116"/>
      <c r="C699" s="117"/>
      <c r="D699" s="117"/>
      <c r="E699" s="114"/>
      <c r="F699" s="69"/>
      <c r="G699" s="70"/>
      <c r="H699" s="70"/>
      <c r="I699" s="70"/>
    </row>
    <row r="700" spans="2:9" ht="15.75" x14ac:dyDescent="0.25">
      <c r="B700" s="116"/>
      <c r="C700" s="117"/>
      <c r="D700" s="117"/>
      <c r="E700" s="114"/>
      <c r="F700" s="69"/>
      <c r="G700" s="70"/>
      <c r="H700" s="70"/>
      <c r="I700" s="70"/>
    </row>
    <row r="701" spans="2:9" ht="15.75" x14ac:dyDescent="0.25">
      <c r="B701" s="116"/>
      <c r="C701" s="117"/>
      <c r="D701" s="117"/>
      <c r="E701" s="114"/>
      <c r="F701" s="69"/>
      <c r="G701" s="70"/>
      <c r="H701" s="70"/>
      <c r="I701" s="70"/>
    </row>
    <row r="702" spans="2:9" ht="15.75" x14ac:dyDescent="0.25">
      <c r="B702" s="116"/>
      <c r="C702" s="117"/>
      <c r="D702" s="117"/>
      <c r="E702" s="114"/>
      <c r="F702" s="69"/>
      <c r="G702" s="70"/>
      <c r="H702" s="70"/>
      <c r="I702" s="70"/>
    </row>
    <row r="703" spans="2:9" ht="15.75" x14ac:dyDescent="0.25">
      <c r="B703" s="116"/>
      <c r="C703" s="117"/>
      <c r="D703" s="117"/>
      <c r="E703" s="114"/>
      <c r="F703" s="69"/>
      <c r="G703" s="70"/>
      <c r="H703" s="70"/>
      <c r="I703" s="70"/>
    </row>
    <row r="704" spans="2:9" ht="15.75" x14ac:dyDescent="0.25">
      <c r="B704" s="116"/>
      <c r="C704" s="117"/>
      <c r="D704" s="117"/>
      <c r="E704" s="114"/>
      <c r="F704" s="69"/>
      <c r="G704" s="70"/>
      <c r="H704" s="70"/>
      <c r="I704" s="70"/>
    </row>
    <row r="705" spans="2:9" ht="15.75" x14ac:dyDescent="0.25">
      <c r="B705" s="116"/>
      <c r="C705" s="117"/>
      <c r="D705" s="117"/>
      <c r="E705" s="114"/>
      <c r="F705" s="69"/>
      <c r="G705" s="70"/>
      <c r="H705" s="70"/>
      <c r="I705" s="70"/>
    </row>
    <row r="706" spans="2:9" ht="15.75" x14ac:dyDescent="0.25">
      <c r="B706" s="116"/>
      <c r="C706" s="117"/>
      <c r="D706" s="117"/>
      <c r="E706" s="114"/>
      <c r="F706" s="69"/>
      <c r="G706" s="70"/>
      <c r="H706" s="70"/>
      <c r="I706" s="70"/>
    </row>
    <row r="707" spans="2:9" ht="15.75" x14ac:dyDescent="0.25">
      <c r="B707" s="116"/>
      <c r="C707" s="117"/>
      <c r="D707" s="117"/>
      <c r="E707" s="114"/>
      <c r="F707" s="69"/>
      <c r="G707" s="70"/>
      <c r="H707" s="70"/>
      <c r="I707" s="70"/>
    </row>
    <row r="708" spans="2:9" ht="15.75" x14ac:dyDescent="0.25">
      <c r="B708" s="116"/>
      <c r="C708" s="117"/>
      <c r="D708" s="117"/>
      <c r="E708" s="114"/>
      <c r="F708" s="69"/>
      <c r="G708" s="70"/>
      <c r="H708" s="70"/>
      <c r="I708" s="70"/>
    </row>
    <row r="709" spans="2:9" ht="15.75" x14ac:dyDescent="0.25">
      <c r="B709" s="116"/>
      <c r="C709" s="117"/>
      <c r="D709" s="117"/>
      <c r="E709" s="114"/>
      <c r="F709" s="69"/>
      <c r="G709" s="70"/>
      <c r="H709" s="70"/>
      <c r="I709" s="70"/>
    </row>
    <row r="710" spans="2:9" ht="15.75" x14ac:dyDescent="0.25">
      <c r="B710" s="116"/>
      <c r="C710" s="117"/>
      <c r="D710" s="117"/>
      <c r="E710" s="114"/>
      <c r="F710" s="69"/>
      <c r="G710" s="70"/>
      <c r="H710" s="70"/>
      <c r="I710" s="70"/>
    </row>
    <row r="711" spans="2:9" ht="15.75" x14ac:dyDescent="0.25">
      <c r="B711" s="116"/>
      <c r="C711" s="117"/>
      <c r="D711" s="117"/>
      <c r="E711" s="114"/>
      <c r="F711" s="69"/>
      <c r="G711" s="70"/>
      <c r="H711" s="70"/>
      <c r="I711" s="70"/>
    </row>
    <row r="712" spans="2:9" ht="15.75" x14ac:dyDescent="0.25">
      <c r="B712" s="116"/>
      <c r="C712" s="117"/>
      <c r="D712" s="117"/>
      <c r="E712" s="114"/>
      <c r="F712" s="69"/>
      <c r="G712" s="70"/>
      <c r="H712" s="70"/>
      <c r="I712" s="70"/>
    </row>
    <row r="713" spans="2:9" ht="15.75" x14ac:dyDescent="0.25">
      <c r="B713" s="116"/>
      <c r="C713" s="117"/>
      <c r="D713" s="117"/>
      <c r="E713" s="114"/>
      <c r="F713" s="69"/>
      <c r="G713" s="70"/>
      <c r="H713" s="70"/>
      <c r="I713" s="70"/>
    </row>
    <row r="714" spans="2:9" ht="15.75" x14ac:dyDescent="0.25">
      <c r="B714" s="116"/>
      <c r="C714" s="117"/>
      <c r="D714" s="117"/>
      <c r="E714" s="114"/>
      <c r="F714" s="69"/>
      <c r="G714" s="70"/>
      <c r="H714" s="70"/>
      <c r="I714" s="70"/>
    </row>
    <row r="715" spans="2:9" ht="15.75" x14ac:dyDescent="0.25">
      <c r="B715" s="116"/>
      <c r="C715" s="117"/>
      <c r="D715" s="117"/>
      <c r="E715" s="114"/>
      <c r="F715" s="69"/>
      <c r="G715" s="70"/>
      <c r="H715" s="70"/>
      <c r="I715" s="70"/>
    </row>
    <row r="716" spans="2:9" ht="15.75" x14ac:dyDescent="0.25">
      <c r="B716" s="116"/>
      <c r="C716" s="117"/>
      <c r="D716" s="117"/>
      <c r="E716" s="114"/>
      <c r="F716" s="69"/>
      <c r="G716" s="70"/>
      <c r="H716" s="70"/>
      <c r="I716" s="70"/>
    </row>
    <row r="717" spans="2:9" ht="15.75" x14ac:dyDescent="0.25">
      <c r="B717" s="116"/>
      <c r="C717" s="117"/>
      <c r="D717" s="117"/>
      <c r="E717" s="114"/>
      <c r="F717" s="69"/>
      <c r="G717" s="70"/>
      <c r="H717" s="70"/>
      <c r="I717" s="70"/>
    </row>
    <row r="718" spans="2:9" ht="15.75" x14ac:dyDescent="0.25">
      <c r="B718" s="116"/>
      <c r="C718" s="117"/>
      <c r="D718" s="117"/>
      <c r="E718" s="114"/>
      <c r="F718" s="69"/>
      <c r="G718" s="70"/>
      <c r="H718" s="70"/>
      <c r="I718" s="70"/>
    </row>
    <row r="719" spans="2:9" ht="15.75" x14ac:dyDescent="0.25">
      <c r="B719" s="116"/>
      <c r="C719" s="117"/>
      <c r="D719" s="117"/>
      <c r="E719" s="114"/>
      <c r="F719" s="69"/>
      <c r="G719" s="70"/>
      <c r="H719" s="70"/>
      <c r="I719" s="70"/>
    </row>
    <row r="720" spans="2:9" ht="15.75" x14ac:dyDescent="0.25">
      <c r="B720" s="116"/>
      <c r="C720" s="117"/>
      <c r="D720" s="117"/>
      <c r="E720" s="114"/>
      <c r="F720" s="69"/>
      <c r="G720" s="70"/>
      <c r="H720" s="70"/>
      <c r="I720" s="70"/>
    </row>
    <row r="721" spans="2:9" ht="15.75" thickBot="1" x14ac:dyDescent="0.3">
      <c r="B721" s="3"/>
      <c r="C721" s="3"/>
      <c r="D721" s="3"/>
      <c r="E721" s="3"/>
      <c r="F721" s="66"/>
      <c r="G721" s="67"/>
      <c r="H721" s="92"/>
      <c r="I721" s="67"/>
    </row>
    <row r="722" spans="2:9" ht="15.75" thickTop="1" x14ac:dyDescent="0.25">
      <c r="B722" s="7" t="s">
        <v>455</v>
      </c>
      <c r="C722" s="188" t="s">
        <v>64</v>
      </c>
      <c r="D722" s="188"/>
      <c r="E722" s="188"/>
      <c r="F722" s="188"/>
      <c r="G722" s="188"/>
      <c r="H722" s="188"/>
      <c r="I722" s="88" t="s">
        <v>495</v>
      </c>
    </row>
  </sheetData>
  <mergeCells count="506">
    <mergeCell ref="E6:F8"/>
    <mergeCell ref="G6:I6"/>
    <mergeCell ref="G8:I8"/>
    <mergeCell ref="G10:I10"/>
    <mergeCell ref="E9:F10"/>
    <mergeCell ref="C516:E516"/>
    <mergeCell ref="B369:I369"/>
    <mergeCell ref="B532:B533"/>
    <mergeCell ref="C502:E502"/>
    <mergeCell ref="C503:E503"/>
    <mergeCell ref="C504:E504"/>
    <mergeCell ref="C505:E505"/>
    <mergeCell ref="C506:E506"/>
    <mergeCell ref="C507:E507"/>
    <mergeCell ref="C508:E508"/>
    <mergeCell ref="C509:E509"/>
    <mergeCell ref="C510:E510"/>
    <mergeCell ref="C521:E521"/>
    <mergeCell ref="C525:E525"/>
    <mergeCell ref="C526:E526"/>
    <mergeCell ref="C175:E175"/>
    <mergeCell ref="C162:E162"/>
    <mergeCell ref="C165:E165"/>
    <mergeCell ref="C166:E166"/>
    <mergeCell ref="C167:E167"/>
    <mergeCell ref="C174:E174"/>
    <mergeCell ref="C157:E157"/>
    <mergeCell ref="C158:E158"/>
    <mergeCell ref="C159:E159"/>
    <mergeCell ref="C140:E140"/>
    <mergeCell ref="B142:I142"/>
    <mergeCell ref="C171:D171"/>
    <mergeCell ref="C170:D170"/>
    <mergeCell ref="C146:D146"/>
    <mergeCell ref="C147:D147"/>
    <mergeCell ref="C148:D148"/>
    <mergeCell ref="C153:E153"/>
    <mergeCell ref="C154:E154"/>
    <mergeCell ref="C122:E122"/>
    <mergeCell ref="C123:E123"/>
    <mergeCell ref="C124:E124"/>
    <mergeCell ref="C125:E125"/>
    <mergeCell ref="C126:E126"/>
    <mergeCell ref="C127:E127"/>
    <mergeCell ref="C128:E128"/>
    <mergeCell ref="C138:E138"/>
    <mergeCell ref="C152:E152"/>
    <mergeCell ref="C722:H722"/>
    <mergeCell ref="C591:E591"/>
    <mergeCell ref="C592:E592"/>
    <mergeCell ref="C631:H631"/>
    <mergeCell ref="C534:E534"/>
    <mergeCell ref="C535:E535"/>
    <mergeCell ref="C541:H541"/>
    <mergeCell ref="G534:G535"/>
    <mergeCell ref="H534:H535"/>
    <mergeCell ref="C569:E569"/>
    <mergeCell ref="C570:E570"/>
    <mergeCell ref="C572:E572"/>
    <mergeCell ref="B553:I553"/>
    <mergeCell ref="C556:E556"/>
    <mergeCell ref="C562:E562"/>
    <mergeCell ref="C568:E568"/>
    <mergeCell ref="F534:F535"/>
    <mergeCell ref="C565:E565"/>
    <mergeCell ref="B534:B535"/>
    <mergeCell ref="C557:E557"/>
    <mergeCell ref="C558:E558"/>
    <mergeCell ref="C559:E559"/>
    <mergeCell ref="C563:E563"/>
    <mergeCell ref="C564:E564"/>
    <mergeCell ref="I534:I535"/>
    <mergeCell ref="G527:G529"/>
    <mergeCell ref="H527:H529"/>
    <mergeCell ref="G532:G533"/>
    <mergeCell ref="C517:E517"/>
    <mergeCell ref="C518:E518"/>
    <mergeCell ref="C519:E519"/>
    <mergeCell ref="C520:E520"/>
    <mergeCell ref="C529:E529"/>
    <mergeCell ref="C530:E530"/>
    <mergeCell ref="C531:E531"/>
    <mergeCell ref="H530:H531"/>
    <mergeCell ref="I530:I531"/>
    <mergeCell ref="F530:F531"/>
    <mergeCell ref="C522:E522"/>
    <mergeCell ref="I527:I529"/>
    <mergeCell ref="G530:G531"/>
    <mergeCell ref="C532:E532"/>
    <mergeCell ref="C533:E533"/>
    <mergeCell ref="F532:F533"/>
    <mergeCell ref="C528:E528"/>
    <mergeCell ref="C527:E527"/>
    <mergeCell ref="F527:F529"/>
    <mergeCell ref="C499:E499"/>
    <mergeCell ref="C500:E500"/>
    <mergeCell ref="C497:E497"/>
    <mergeCell ref="B530:B531"/>
    <mergeCell ref="C501:E501"/>
    <mergeCell ref="C492:E492"/>
    <mergeCell ref="C498:E498"/>
    <mergeCell ref="C482:E482"/>
    <mergeCell ref="C487:E487"/>
    <mergeCell ref="C488:E488"/>
    <mergeCell ref="C513:E513"/>
    <mergeCell ref="C514:E514"/>
    <mergeCell ref="C515:E515"/>
    <mergeCell ref="C511:E511"/>
    <mergeCell ref="C512:E512"/>
    <mergeCell ref="B527:B529"/>
    <mergeCell ref="C486:E486"/>
    <mergeCell ref="C236:E236"/>
    <mergeCell ref="C237:E237"/>
    <mergeCell ref="C240:E240"/>
    <mergeCell ref="C241:E241"/>
    <mergeCell ref="C469:E469"/>
    <mergeCell ref="C470:E470"/>
    <mergeCell ref="C471:E471"/>
    <mergeCell ref="C472:E472"/>
    <mergeCell ref="C473:E473"/>
    <mergeCell ref="C401:E401"/>
    <mergeCell ref="C402:E402"/>
    <mergeCell ref="C397:E397"/>
    <mergeCell ref="C398:E398"/>
    <mergeCell ref="C399:E399"/>
    <mergeCell ref="C449:H449"/>
    <mergeCell ref="G411:G412"/>
    <mergeCell ref="C462:E462"/>
    <mergeCell ref="C463:E463"/>
    <mergeCell ref="H463:H466"/>
    <mergeCell ref="G416:G417"/>
    <mergeCell ref="G277:I278"/>
    <mergeCell ref="B278:C278"/>
    <mergeCell ref="H411:H412"/>
    <mergeCell ref="I411:I412"/>
    <mergeCell ref="C54:E54"/>
    <mergeCell ref="C219:E219"/>
    <mergeCell ref="C220:E220"/>
    <mergeCell ref="C221:E221"/>
    <mergeCell ref="C222:E222"/>
    <mergeCell ref="C223:E223"/>
    <mergeCell ref="C226:E226"/>
    <mergeCell ref="C229:E229"/>
    <mergeCell ref="C230:E230"/>
    <mergeCell ref="C225:E225"/>
    <mergeCell ref="C224:E224"/>
    <mergeCell ref="C135:E135"/>
    <mergeCell ref="C161:E161"/>
    <mergeCell ref="C151:E151"/>
    <mergeCell ref="C176:E176"/>
    <mergeCell ref="C129:E129"/>
    <mergeCell ref="C130:E130"/>
    <mergeCell ref="C136:E136"/>
    <mergeCell ref="C137:E137"/>
    <mergeCell ref="C178:H178"/>
    <mergeCell ref="C133:E133"/>
    <mergeCell ref="C134:E134"/>
    <mergeCell ref="C160:E160"/>
    <mergeCell ref="C139:E139"/>
    <mergeCell ref="C42:E42"/>
    <mergeCell ref="C43:E43"/>
    <mergeCell ref="C44:E44"/>
    <mergeCell ref="C34:E34"/>
    <mergeCell ref="C37:E37"/>
    <mergeCell ref="C38:E38"/>
    <mergeCell ref="C39:E39"/>
    <mergeCell ref="C40:E40"/>
    <mergeCell ref="C33:E33"/>
    <mergeCell ref="C81:E81"/>
    <mergeCell ref="C82:E82"/>
    <mergeCell ref="C48:E48"/>
    <mergeCell ref="C91:H91"/>
    <mergeCell ref="C83:E83"/>
    <mergeCell ref="C49:E49"/>
    <mergeCell ref="C50:E50"/>
    <mergeCell ref="C53:E53"/>
    <mergeCell ref="B5:C11"/>
    <mergeCell ref="G12:I13"/>
    <mergeCell ref="C29:E29"/>
    <mergeCell ref="B29:B30"/>
    <mergeCell ref="F29:F30"/>
    <mergeCell ref="G29:G30"/>
    <mergeCell ref="H29:H30"/>
    <mergeCell ref="I29:I30"/>
    <mergeCell ref="B15:I15"/>
    <mergeCell ref="C28:E28"/>
    <mergeCell ref="C30:E30"/>
    <mergeCell ref="C31:E31"/>
    <mergeCell ref="C32:E32"/>
    <mergeCell ref="C57:E57"/>
    <mergeCell ref="C58:E58"/>
    <mergeCell ref="C41:E41"/>
    <mergeCell ref="C121:E121"/>
    <mergeCell ref="B92:I92"/>
    <mergeCell ref="C104:E104"/>
    <mergeCell ref="C105:E105"/>
    <mergeCell ref="C112:E112"/>
    <mergeCell ref="C113:E113"/>
    <mergeCell ref="C116:E116"/>
    <mergeCell ref="C117:E117"/>
    <mergeCell ref="C120:E120"/>
    <mergeCell ref="C108:E108"/>
    <mergeCell ref="C109:E109"/>
    <mergeCell ref="B100:C100"/>
    <mergeCell ref="D100:F101"/>
    <mergeCell ref="G100:I101"/>
    <mergeCell ref="B101:C101"/>
    <mergeCell ref="C200:E200"/>
    <mergeCell ref="C201:E201"/>
    <mergeCell ref="C202:E202"/>
    <mergeCell ref="C203:E203"/>
    <mergeCell ref="C191:E191"/>
    <mergeCell ref="C295:E295"/>
    <mergeCell ref="C296:E296"/>
    <mergeCell ref="C281:E281"/>
    <mergeCell ref="C285:E285"/>
    <mergeCell ref="C242:E242"/>
    <mergeCell ref="C243:E243"/>
    <mergeCell ref="C244:E244"/>
    <mergeCell ref="C247:E247"/>
    <mergeCell ref="C248:E248"/>
    <mergeCell ref="C233:E233"/>
    <mergeCell ref="C214:E214"/>
    <mergeCell ref="C215:E215"/>
    <mergeCell ref="C218:E218"/>
    <mergeCell ref="C213:E213"/>
    <mergeCell ref="C204:E204"/>
    <mergeCell ref="C205:E205"/>
    <mergeCell ref="C206:E206"/>
    <mergeCell ref="C207:E207"/>
    <mergeCell ref="C253:E253"/>
    <mergeCell ref="C192:E192"/>
    <mergeCell ref="C193:E193"/>
    <mergeCell ref="C194:E194"/>
    <mergeCell ref="C197:E197"/>
    <mergeCell ref="C198:E198"/>
    <mergeCell ref="C199:E199"/>
    <mergeCell ref="B180:C186"/>
    <mergeCell ref="E181:F183"/>
    <mergeCell ref="G181:I181"/>
    <mergeCell ref="G183:I183"/>
    <mergeCell ref="E184:F185"/>
    <mergeCell ref="G185:I185"/>
    <mergeCell ref="B187:C187"/>
    <mergeCell ref="D187:F188"/>
    <mergeCell ref="G187:I188"/>
    <mergeCell ref="B188:C188"/>
    <mergeCell ref="I463:I466"/>
    <mergeCell ref="G470:G477"/>
    <mergeCell ref="I470:I477"/>
    <mergeCell ref="H470:H477"/>
    <mergeCell ref="C464:E464"/>
    <mergeCell ref="C474:E474"/>
    <mergeCell ref="C475:E475"/>
    <mergeCell ref="C476:E476"/>
    <mergeCell ref="C477:E477"/>
    <mergeCell ref="C249:E249"/>
    <mergeCell ref="C250:E250"/>
    <mergeCell ref="C282:E282"/>
    <mergeCell ref="C341:D341"/>
    <mergeCell ref="C344:D344"/>
    <mergeCell ref="C345:D345"/>
    <mergeCell ref="C346:D346"/>
    <mergeCell ref="C347:D347"/>
    <mergeCell ref="C348:D348"/>
    <mergeCell ref="C251:E251"/>
    <mergeCell ref="C252:E252"/>
    <mergeCell ref="C268:H268"/>
    <mergeCell ref="C289:E289"/>
    <mergeCell ref="B270:C276"/>
    <mergeCell ref="E271:F273"/>
    <mergeCell ref="G271:I271"/>
    <mergeCell ref="G273:I273"/>
    <mergeCell ref="E274:F275"/>
    <mergeCell ref="G275:I275"/>
    <mergeCell ref="B277:C277"/>
    <mergeCell ref="D277:F278"/>
    <mergeCell ref="C290:E290"/>
    <mergeCell ref="C291:E291"/>
    <mergeCell ref="C299:E299"/>
    <mergeCell ref="B359:C365"/>
    <mergeCell ref="E360:F362"/>
    <mergeCell ref="C357:H357"/>
    <mergeCell ref="C328:D328"/>
    <mergeCell ref="I416:I417"/>
    <mergeCell ref="F416:F417"/>
    <mergeCell ref="I414:I415"/>
    <mergeCell ref="G360:I360"/>
    <mergeCell ref="G362:I362"/>
    <mergeCell ref="C394:E394"/>
    <mergeCell ref="F411:F412"/>
    <mergeCell ref="C396:E396"/>
    <mergeCell ref="C403:E403"/>
    <mergeCell ref="C404:E404"/>
    <mergeCell ref="C405:E405"/>
    <mergeCell ref="C406:E406"/>
    <mergeCell ref="E363:F364"/>
    <mergeCell ref="G364:I364"/>
    <mergeCell ref="B366:C366"/>
    <mergeCell ref="D366:F367"/>
    <mergeCell ref="G366:I367"/>
    <mergeCell ref="B367:C367"/>
    <mergeCell ref="C372:D372"/>
    <mergeCell ref="C373:D373"/>
    <mergeCell ref="C340:D340"/>
    <mergeCell ref="C313:D313"/>
    <mergeCell ref="C317:D317"/>
    <mergeCell ref="C318:D318"/>
    <mergeCell ref="C319:D319"/>
    <mergeCell ref="C322:D322"/>
    <mergeCell ref="C323:D323"/>
    <mergeCell ref="C324:D324"/>
    <mergeCell ref="C327:D327"/>
    <mergeCell ref="C314:D314"/>
    <mergeCell ref="C292:E292"/>
    <mergeCell ref="C386:E386"/>
    <mergeCell ref="C411:E412"/>
    <mergeCell ref="C416:E416"/>
    <mergeCell ref="C417:E417"/>
    <mergeCell ref="C297:E297"/>
    <mergeCell ref="C300:E300"/>
    <mergeCell ref="C301:E301"/>
    <mergeCell ref="C302:E302"/>
    <mergeCell ref="C298:E298"/>
    <mergeCell ref="C409:E409"/>
    <mergeCell ref="C410:E410"/>
    <mergeCell ref="C413:E413"/>
    <mergeCell ref="C331:D331"/>
    <mergeCell ref="C332:D332"/>
    <mergeCell ref="C333:D333"/>
    <mergeCell ref="C334:D334"/>
    <mergeCell ref="C337:D337"/>
    <mergeCell ref="C387:E387"/>
    <mergeCell ref="C390:E390"/>
    <mergeCell ref="C374:D374"/>
    <mergeCell ref="C375:D375"/>
    <mergeCell ref="C338:D338"/>
    <mergeCell ref="C339:D339"/>
    <mergeCell ref="C18:D18"/>
    <mergeCell ref="C24:D24"/>
    <mergeCell ref="C25:D25"/>
    <mergeCell ref="C306:D306"/>
    <mergeCell ref="C305:D305"/>
    <mergeCell ref="C307:D307"/>
    <mergeCell ref="C308:D308"/>
    <mergeCell ref="C309:D309"/>
    <mergeCell ref="C310:D310"/>
    <mergeCell ref="C145:D145"/>
    <mergeCell ref="C75:D75"/>
    <mergeCell ref="C76:D76"/>
    <mergeCell ref="C77:D77"/>
    <mergeCell ref="C74:D74"/>
    <mergeCell ref="C19:D19"/>
    <mergeCell ref="C20:D20"/>
    <mergeCell ref="C286:E286"/>
    <mergeCell ref="C287:E287"/>
    <mergeCell ref="C288:E288"/>
    <mergeCell ref="C208:E208"/>
    <mergeCell ref="C209:E209"/>
    <mergeCell ref="C212:E212"/>
    <mergeCell ref="C231:E231"/>
    <mergeCell ref="C232:E232"/>
    <mergeCell ref="C646:D646"/>
    <mergeCell ref="B643:I643"/>
    <mergeCell ref="C674:D674"/>
    <mergeCell ref="C675:D675"/>
    <mergeCell ref="C676:D676"/>
    <mergeCell ref="C677:D677"/>
    <mergeCell ref="C678:D678"/>
    <mergeCell ref="B640:C640"/>
    <mergeCell ref="D640:F641"/>
    <mergeCell ref="G640:I641"/>
    <mergeCell ref="B641:C641"/>
    <mergeCell ref="C647:D647"/>
    <mergeCell ref="C648:D648"/>
    <mergeCell ref="C653:D653"/>
    <mergeCell ref="C654:D654"/>
    <mergeCell ref="C655:D655"/>
    <mergeCell ref="C656:D656"/>
    <mergeCell ref="C657:D657"/>
    <mergeCell ref="C658:D658"/>
    <mergeCell ref="C659:D659"/>
    <mergeCell ref="B650:I650"/>
    <mergeCell ref="C684:D684"/>
    <mergeCell ref="C687:D687"/>
    <mergeCell ref="C688:D688"/>
    <mergeCell ref="C689:D689"/>
    <mergeCell ref="C690:D690"/>
    <mergeCell ref="C662:D662"/>
    <mergeCell ref="C663:D663"/>
    <mergeCell ref="C664:D664"/>
    <mergeCell ref="C665:D665"/>
    <mergeCell ref="C666:D666"/>
    <mergeCell ref="C667:D667"/>
    <mergeCell ref="C668:D668"/>
    <mergeCell ref="C669:D669"/>
    <mergeCell ref="C682:D682"/>
    <mergeCell ref="C683:D683"/>
    <mergeCell ref="C672:D672"/>
    <mergeCell ref="C673:D673"/>
    <mergeCell ref="C679:D679"/>
    <mergeCell ref="B12:C12"/>
    <mergeCell ref="D12:F13"/>
    <mergeCell ref="B13:C13"/>
    <mergeCell ref="B93:C99"/>
    <mergeCell ref="E94:F96"/>
    <mergeCell ref="G94:I94"/>
    <mergeCell ref="G96:I96"/>
    <mergeCell ref="E97:F98"/>
    <mergeCell ref="G98:I98"/>
    <mergeCell ref="C21:D21"/>
    <mergeCell ref="C22:D22"/>
    <mergeCell ref="C23:D23"/>
    <mergeCell ref="C45:E45"/>
    <mergeCell ref="C84:E84"/>
    <mergeCell ref="C85:E85"/>
    <mergeCell ref="B60:I60"/>
    <mergeCell ref="C63:E63"/>
    <mergeCell ref="C64:E64"/>
    <mergeCell ref="C67:E67"/>
    <mergeCell ref="C68:E68"/>
    <mergeCell ref="C69:E69"/>
    <mergeCell ref="C70:E70"/>
    <mergeCell ref="C71:E71"/>
    <mergeCell ref="C80:E80"/>
    <mergeCell ref="G452:I452"/>
    <mergeCell ref="G454:I454"/>
    <mergeCell ref="E455:F456"/>
    <mergeCell ref="G456:I456"/>
    <mergeCell ref="C376:D376"/>
    <mergeCell ref="C377:D377"/>
    <mergeCell ref="C378:D378"/>
    <mergeCell ref="C379:D379"/>
    <mergeCell ref="C380:D380"/>
    <mergeCell ref="C381:D381"/>
    <mergeCell ref="C382:D382"/>
    <mergeCell ref="F414:F415"/>
    <mergeCell ref="H416:H417"/>
    <mergeCell ref="H414:H415"/>
    <mergeCell ref="G414:G415"/>
    <mergeCell ref="C395:E395"/>
    <mergeCell ref="C414:E414"/>
    <mergeCell ref="C415:E415"/>
    <mergeCell ref="C391:E391"/>
    <mergeCell ref="C385:E385"/>
    <mergeCell ref="C400:E400"/>
    <mergeCell ref="C481:E481"/>
    <mergeCell ref="B470:B477"/>
    <mergeCell ref="C493:E493"/>
    <mergeCell ref="C494:E494"/>
    <mergeCell ref="C495:E495"/>
    <mergeCell ref="C496:E496"/>
    <mergeCell ref="B451:C457"/>
    <mergeCell ref="E452:F454"/>
    <mergeCell ref="B463:B466"/>
    <mergeCell ref="C480:E480"/>
    <mergeCell ref="C465:E465"/>
    <mergeCell ref="C466:E466"/>
    <mergeCell ref="C583:D583"/>
    <mergeCell ref="C584:D584"/>
    <mergeCell ref="C585:D585"/>
    <mergeCell ref="C586:D586"/>
    <mergeCell ref="B606:I606"/>
    <mergeCell ref="C609:E609"/>
    <mergeCell ref="C610:E610"/>
    <mergeCell ref="B458:C458"/>
    <mergeCell ref="D458:F459"/>
    <mergeCell ref="G458:I459"/>
    <mergeCell ref="B459:C459"/>
    <mergeCell ref="B543:C549"/>
    <mergeCell ref="E544:F546"/>
    <mergeCell ref="G544:I544"/>
    <mergeCell ref="G546:I546"/>
    <mergeCell ref="E547:F548"/>
    <mergeCell ref="G548:I548"/>
    <mergeCell ref="G463:G466"/>
    <mergeCell ref="H532:H533"/>
    <mergeCell ref="I532:I533"/>
    <mergeCell ref="C485:E485"/>
    <mergeCell ref="C489:E489"/>
    <mergeCell ref="F470:F477"/>
    <mergeCell ref="F463:F466"/>
    <mergeCell ref="C611:E611"/>
    <mergeCell ref="C614:E614"/>
    <mergeCell ref="C615:E615"/>
    <mergeCell ref="B550:C550"/>
    <mergeCell ref="D550:F551"/>
    <mergeCell ref="G550:I551"/>
    <mergeCell ref="B551:C551"/>
    <mergeCell ref="B633:C639"/>
    <mergeCell ref="E634:F636"/>
    <mergeCell ref="G634:I634"/>
    <mergeCell ref="G636:I636"/>
    <mergeCell ref="E637:F638"/>
    <mergeCell ref="G638:I638"/>
    <mergeCell ref="C587:D587"/>
    <mergeCell ref="C588:D588"/>
    <mergeCell ref="C571:E571"/>
    <mergeCell ref="C575:D575"/>
    <mergeCell ref="C576:D576"/>
    <mergeCell ref="C577:D577"/>
    <mergeCell ref="C578:D578"/>
    <mergeCell ref="C579:D579"/>
    <mergeCell ref="C580:D580"/>
    <mergeCell ref="C581:D581"/>
    <mergeCell ref="C582:D582"/>
  </mergeCells>
  <hyperlinks>
    <hyperlink ref="G10" r:id="rId1"/>
    <hyperlink ref="G98" r:id="rId2"/>
    <hyperlink ref="G185" r:id="rId3"/>
    <hyperlink ref="G275" r:id="rId4"/>
    <hyperlink ref="G364" r:id="rId5"/>
    <hyperlink ref="G456" r:id="rId6"/>
    <hyperlink ref="G548" r:id="rId7"/>
    <hyperlink ref="G638" r:id="rId8"/>
  </hyperlinks>
  <pageMargins left="0.19685039370078741" right="0.11811023622047245" top="0.15748031496062992" bottom="0.15748031496062992" header="0.31496062992125984" footer="0.31496062992125984"/>
  <pageSetup paperSize="9" scale="56" fitToHeight="0" orientation="portrait" r:id="rId9"/>
  <rowBreaks count="7" manualBreakCount="7">
    <brk id="92" max="16383" man="1"/>
    <brk id="179" max="16383" man="1"/>
    <brk id="269" max="16383" man="1"/>
    <brk id="358" max="16383" man="1"/>
    <brk id="450" max="16383" man="1"/>
    <brk id="542" max="16383" man="1"/>
    <brk id="632" max="16383" man="1"/>
  </rowBreaks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Precios</vt:lpstr>
      <vt:lpstr>Precios!Área_de_impresión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</dc:creator>
  <cp:lastModifiedBy>Analia Monzon</cp:lastModifiedBy>
  <cp:lastPrinted>2024-11-22T16:11:19Z</cp:lastPrinted>
  <dcterms:created xsi:type="dcterms:W3CDTF">2022-02-19T12:56:06Z</dcterms:created>
  <dcterms:modified xsi:type="dcterms:W3CDTF">2025-04-29T16:05:49Z</dcterms:modified>
</cp:coreProperties>
</file>